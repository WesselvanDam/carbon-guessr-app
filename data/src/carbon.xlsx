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wesse\Documents\code\carbon_guessr\code\data\src\"/>
    </mc:Choice>
  </mc:AlternateContent>
  <xr:revisionPtr revIDLastSave="0" documentId="13_ncr:1_{85610D82-0FE8-40EF-9C43-A95125CCCD86}" xr6:coauthVersionLast="47" xr6:coauthVersionMax="47" xr10:uidLastSave="{00000000-0000-0000-0000-000000000000}"/>
  <bookViews>
    <workbookView xWindow="-103" yWindow="-103" windowWidth="22149" windowHeight="13920" activeTab="1" xr2:uid="{00000000-000D-0000-FFFF-FFFF00000000}"/>
  </bookViews>
  <sheets>
    <sheet name="info" sheetId="4" r:id="rId1"/>
    <sheet name="data" sheetId="1" r:id="rId2"/>
    <sheet name="sources" sheetId="2" r:id="rId3"/>
    <sheet name="l10n" sheetId="3" r:id="rId4"/>
    <sheet name="did-you-know"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 i="1" l="1"/>
  <c r="E91" i="1"/>
  <c r="E77" i="1"/>
  <c r="E74" i="1"/>
  <c r="E80" i="1"/>
  <c r="E79" i="1"/>
  <c r="E73" i="1"/>
  <c r="E72" i="1"/>
  <c r="E70" i="1"/>
  <c r="E71" i="1"/>
  <c r="E69" i="1"/>
  <c r="E68" i="1"/>
  <c r="E78" i="1"/>
  <c r="E76" i="1"/>
  <c r="E75" i="1"/>
  <c r="E67" i="1"/>
  <c r="E66" i="1"/>
  <c r="B2" i="3"/>
  <c r="C2" i="3"/>
  <c r="B3" i="3"/>
  <c r="C3" i="3"/>
  <c r="B4" i="3"/>
  <c r="C4" i="3"/>
  <c r="B5" i="3"/>
  <c r="C5" i="3"/>
  <c r="B6" i="3"/>
  <c r="C6" i="3"/>
  <c r="B7" i="3"/>
  <c r="C7" i="3"/>
  <c r="B8" i="3"/>
  <c r="C8" i="3"/>
  <c r="B9" i="3"/>
  <c r="C9" i="3"/>
  <c r="B10" i="3"/>
  <c r="C10" i="3"/>
  <c r="B11" i="3"/>
  <c r="C11" i="3"/>
  <c r="B12" i="3"/>
  <c r="C12" i="3"/>
  <c r="B13" i="3"/>
  <c r="C13" i="3"/>
  <c r="B14" i="3"/>
  <c r="C14" i="3"/>
  <c r="B15" i="3"/>
  <c r="C15" i="3"/>
  <c r="B16" i="3"/>
  <c r="C16" i="3"/>
  <c r="B17" i="3"/>
  <c r="C17" i="3"/>
  <c r="B18" i="3"/>
  <c r="C18" i="3"/>
  <c r="B19" i="3"/>
  <c r="C19" i="3"/>
  <c r="B20" i="3"/>
  <c r="C20" i="3"/>
  <c r="B21" i="3"/>
  <c r="C21" i="3"/>
  <c r="A21" i="3"/>
  <c r="A13" i="3"/>
  <c r="A14" i="3"/>
  <c r="A15" i="3"/>
  <c r="A16" i="3"/>
  <c r="A17" i="3"/>
  <c r="A18" i="3"/>
  <c r="A19" i="3"/>
  <c r="A20" i="3"/>
  <c r="A3" i="3"/>
  <c r="A4" i="3"/>
  <c r="A5" i="3"/>
  <c r="A6" i="3"/>
  <c r="A7" i="3"/>
  <c r="A8" i="3"/>
  <c r="A9" i="3"/>
  <c r="A10" i="3"/>
  <c r="A11" i="3"/>
  <c r="A12" i="3"/>
  <c r="A2" i="3"/>
</calcChain>
</file>

<file path=xl/sharedStrings.xml><?xml version="1.0" encoding="utf-8"?>
<sst xmlns="http://schemas.openxmlformats.org/spreadsheetml/2006/main" count="497" uniqueCount="260">
  <si>
    <t>id</t>
  </si>
  <si>
    <t>carbon</t>
  </si>
  <si>
    <t>quantity</t>
  </si>
  <si>
    <t>unit</t>
  </si>
  <si>
    <t>kg CO2eq</t>
  </si>
  <si>
    <t>title</t>
  </si>
  <si>
    <t>value</t>
  </si>
  <si>
    <t>category</t>
  </si>
  <si>
    <t>sources</t>
  </si>
  <si>
    <t>description</t>
  </si>
  <si>
    <t>Kiwi</t>
  </si>
  <si>
    <t>Television</t>
  </si>
  <si>
    <t>Lorem ipsum dolor sit amet</t>
  </si>
  <si>
    <t>Water</t>
  </si>
  <si>
    <t>mla</t>
  </si>
  <si>
    <t>url</t>
  </si>
  <si>
    <t>title_nl-NL</t>
  </si>
  <si>
    <t>description_nl-NL</t>
  </si>
  <si>
    <t>Paprika</t>
  </si>
  <si>
    <t>Telefoon opladen</t>
  </si>
  <si>
    <t>1km in een dieselauto</t>
  </si>
  <si>
    <t>1km in een elektrische auto</t>
  </si>
  <si>
    <t>Wasmachine</t>
  </si>
  <si>
    <t>Koelkast</t>
  </si>
  <si>
    <t>Vriezer</t>
  </si>
  <si>
    <t>Iets anders</t>
  </si>
  <si>
    <t>Biefstuk</t>
  </si>
  <si>
    <t>Bier</t>
  </si>
  <si>
    <t>Koffie</t>
  </si>
  <si>
    <t>500km vlucht</t>
  </si>
  <si>
    <t>AI-gegenereerde afbeelding</t>
  </si>
  <si>
    <t>Internetafbeeldingen zoeken</t>
  </si>
  <si>
    <t>HD video stream</t>
  </si>
  <si>
    <t>Lage resolutie video streaming</t>
  </si>
  <si>
    <t>500km treinrit</t>
  </si>
  <si>
    <t>Get to know what activities contribute the most to climate change</t>
  </si>
  <si>
    <t>Poore, Joseph, and Thomas Nemecek. "Reducing food’s environmental impacts through producers and consumers." Science 360.6392 (2018): 987-992.</t>
  </si>
  <si>
    <t>https://www.science.org/doi/abs/10.1126/science.aaq0216</t>
  </si>
  <si>
    <t>Brassicas (cole crops)</t>
  </si>
  <si>
    <t>1 kg</t>
  </si>
  <si>
    <t>1 L</t>
  </si>
  <si>
    <t>Beer</t>
  </si>
  <si>
    <t>Beef (beef herd)</t>
  </si>
  <si>
    <t>Beef (dairy herd)</t>
  </si>
  <si>
    <t>Beet sugar</t>
  </si>
  <si>
    <t>Berries or grapes</t>
  </si>
  <si>
    <t>Cane sugar</t>
  </si>
  <si>
    <t>Cassava</t>
  </si>
  <si>
    <t>Cheese</t>
  </si>
  <si>
    <t>Citrus fruit</t>
  </si>
  <si>
    <t>Dark chocolate</t>
  </si>
  <si>
    <t>Eggs</t>
  </si>
  <si>
    <t>Roasted peanuts</t>
  </si>
  <si>
    <t>Lamb meat</t>
  </si>
  <si>
    <t>Maize meal</t>
  </si>
  <si>
    <t>Pasteurized milk</t>
  </si>
  <si>
    <t>Dry nuts</t>
  </si>
  <si>
    <t>Rolled oats</t>
  </si>
  <si>
    <t>Olive oil</t>
  </si>
  <si>
    <t>Onions and leeks</t>
  </si>
  <si>
    <t>Palm oil</t>
  </si>
  <si>
    <t>Dry peas</t>
  </si>
  <si>
    <t>Pig meat</t>
  </si>
  <si>
    <t>Potatoes</t>
  </si>
  <si>
    <t>Poultry meat</t>
  </si>
  <si>
    <t>Rapeseed oil</t>
  </si>
  <si>
    <t>Rice</t>
  </si>
  <si>
    <t>Root vegetables</t>
  </si>
  <si>
    <t>Soymilk</t>
  </si>
  <si>
    <t>Soybean oil</t>
  </si>
  <si>
    <t>Sunflower oil</t>
  </si>
  <si>
    <t>Tofu</t>
  </si>
  <si>
    <t>Tomatoes</t>
  </si>
  <si>
    <t>Wheat bread</t>
  </si>
  <si>
    <t>Wine</t>
  </si>
  <si>
    <t>Shrimps</t>
  </si>
  <si>
    <t>Ground coffee beans</t>
  </si>
  <si>
    <t>Apples</t>
  </si>
  <si>
    <t>Bananas</t>
  </si>
  <si>
    <t>carbon footprint</t>
  </si>
  <si>
    <t>everyday climate impact</t>
  </si>
  <si>
    <t>tagline</t>
  </si>
  <si>
    <t>Ever wondered about the climate impact of your daily choices? This collection measures the [carbon footprint](https://en.wikipedia.org/wiki/Carbon_footprint) of various items and activities, such as food production, electricity usage, and transportation. It expresses these footprints in kilograms of CO2 equivalent (kg CO2eq), and by comparing these values you'll learn which activities have a large impact on our planet's climate and which are less important.</t>
  </si>
  <si>
    <t>Food Production</t>
  </si>
  <si>
    <t>Department for Energy Security and Net Zero. Greenhouse Gas Reporting: Conversion Factors 2025. GOV.UK, 10 June 2025.</t>
  </si>
  <si>
    <t>www.gov.uk/government/publications/greenhouse-gas-reporting-conversion-factors-2025</t>
  </si>
  <si>
    <t>Department for Energy Security and Net Zero (2025)</t>
  </si>
  <si>
    <t>Domestic flight, average passenger</t>
  </si>
  <si>
    <t>Transportation</t>
  </si>
  <si>
    <t>500 km</t>
  </si>
  <si>
    <t>1500 km</t>
  </si>
  <si>
    <t>6000 km</t>
  </si>
  <si>
    <t>Average emissions for a single passenger for a short haul flight of 1500 km (e.g. Rome-Copenhagen). Emissions from aviation have both direct (CO2, CH4 and N2O) and indirect (non-CO2 emissions e.g. water vapour, contrails, NOx) climate change effects. Both types of effects are included.</t>
  </si>
  <si>
    <t>Average emissions for a single passenger for a domestic flight of 500 km (e.g. London-Edinburgh). Emissions from aviation have both direct (CO2, CH4 and N2O) and indirect (non-CO2 emissions e.g. water vapour, contrails, NOx) climate change effects. Both types of effects are included.</t>
  </si>
  <si>
    <t>Average emissions for a single passenger flying economy class on a long haul flight of 6000 km (e.g. Amsterdam-New York). Emissions from aviation have both direct (CO2, CH4 and N2O) and indirect (non-CO2 emissions e.g. water vapour, contrails, NOx) climate change effects. Both types of effects are included.</t>
  </si>
  <si>
    <t>Average emissions for a single passenger flying business class on a long haul flight of 6000 km (e.g. Amsterdam-New York). Emissions from aviation have both direct (CO2, CH4 and N2O) and indirect (non-CO2 emissions e.g. water vapour, contrails, NOx) climate change effects. Both types of effects are included.</t>
  </si>
  <si>
    <t>Ferry, foot passenger</t>
  </si>
  <si>
    <t>50 km</t>
  </si>
  <si>
    <t>Average emissions for a single foot passenger aboard a ferry for a distance of 50 km (e.g. Calais-Dover).</t>
  </si>
  <si>
    <t>Ferry, car passenger</t>
  </si>
  <si>
    <t>Average emissions for a single passenger with a car aboard a ferry for a distance of 50 km (e.g. Calais-Dover).</t>
  </si>
  <si>
    <t>Short flight, average passenger</t>
  </si>
  <si>
    <t>Long flight, economy class</t>
  </si>
  <si>
    <t>Long flight, business class</t>
  </si>
  <si>
    <t>Diesel car ride</t>
  </si>
  <si>
    <t>Petrol car ride</t>
  </si>
  <si>
    <t>Plug-in hybrid car ride</t>
  </si>
  <si>
    <t>Electric car ride</t>
  </si>
  <si>
    <t>Average emissions for a 50 km ride in an electric car (EV). This includes average payload, weather effects, driving styles, usage of air conditioning, etc.</t>
  </si>
  <si>
    <t>Average emissions for a 50 km ride in a petrol-fueled car. This includes average payload, weather effects, driving styles, usage of air conditioning, etc.</t>
  </si>
  <si>
    <t>Average emissions for a 50 km ride in a diesel-fueled car. This includes average payload, weather effects, driving styles, usage of air conditioning, etc.</t>
  </si>
  <si>
    <t>Average emissions for a 50 km ride in a plug-in hybrid car. This includes average payload, weather effects, driving styles, usage of air conditioning, etc.</t>
  </si>
  <si>
    <t>5 km</t>
  </si>
  <si>
    <t>Local bus ride, per passenger</t>
  </si>
  <si>
    <t>Average emissions per passenger for a 5 km ride in a local public transit bus.</t>
  </si>
  <si>
    <t>Coach bus ride, per passenger</t>
  </si>
  <si>
    <t>100 km</t>
  </si>
  <si>
    <t>Average emissions per passenger for a 100 km ride in a long-distance coach bus.</t>
  </si>
  <si>
    <t>Average emissions per passenger for a 50 km train ride.</t>
  </si>
  <si>
    <t>Regional train ride, per passenger</t>
  </si>
  <si>
    <t>Metro or tram ride, per passenger</t>
  </si>
  <si>
    <t>Average emissions per passenger for a 5 km ride on light rail such as metro or tram.</t>
  </si>
  <si>
    <t>Poor &amp; Nemecek (2018)</t>
  </si>
  <si>
    <t>Unit</t>
  </si>
  <si>
    <t>Manufacturing</t>
  </si>
  <si>
    <t>Fairphone 5 smartphone</t>
  </si>
  <si>
    <t>Sánchez (2020)</t>
  </si>
  <si>
    <t>https://www.fairphone.com/wp-content/uploads/2024/09/Fairphone5_LCA_Report_2024.pdf</t>
  </si>
  <si>
    <t>MacBook Pro, 16 inch</t>
  </si>
  <si>
    <t>Average carbon footprint for the production and transportation of Apple's MacBook Pro 16 inch laptop, 2024 edition. This does not include the use phase and the 'end of life' phase (such as recycling and waste management). Note that the value used here is from a research done by Apple themselves.
Since laptops come in a wide variety of shapes, sizes, and feature options, it is difficult to define a typical carbon footprint. Additionally, methodologies for determining the footprint differ between companies. For that reason, the value of a single model has been included in this collection instead of an average.</t>
  </si>
  <si>
    <t>Apple Inc. (2024)</t>
  </si>
  <si>
    <t>https://www.apple.com/environment/pdf/products/notebooks/MacBook_Pro_16-inch_PER_Oct2024.pdf</t>
  </si>
  <si>
    <t>iPad Air, 13 inch</t>
  </si>
  <si>
    <t>Apple Inc. (2025)</t>
  </si>
  <si>
    <t>Average carbon footprint for the production and transportation of Apple's iPad Air 13 inch tablet, 2025 edition with 128 GB of storage. This does not include the use phase and the 'end of life' phase (such as recycling and waste management). Note that the value used here is from a research done by Apple themselves.
Since tablets come in a wide variety of shapes, sizes, and feature options, it is difficult to define a typical carbon footprint. Additionally, methodologies for determining the footprint differ between companies. For that reason, the value of a single model has been included in this collection instead of an average.</t>
  </si>
  <si>
    <t>Samsung Smart TV, 75 inch</t>
  </si>
  <si>
    <t>Average carbon footprint for the production and transportation of Samsung's QLED Q60C Smart TV with a 75 inch display. This does not include the use phase and the 'end of life' phase (such as recycling and waste management). Note that the value used here is from a research done by Apple themselves.
Since TV's come in a wide variety of shapes, sizes, and feature options, it is difficult to define a typical carbon footprint. Additionally, methodologies for determining the footprint differ between companies. For that reason, the value of a single model has been included in this collection instead of an average.</t>
  </si>
  <si>
    <t>Samsung Group (2023)</t>
  </si>
  <si>
    <t>Apple Inc. "Product Environmental Report: MacBook Pro 16-inch." 30 Oct. 2024</t>
  </si>
  <si>
    <t>Apple Inc. "Product Environmental Report: iPad Air 11-inch and 13-inch (M3)." 4 Mar. 2025</t>
  </si>
  <si>
    <t>Samsung Group. "Product Environmental Report: QLED Q60C". 28 Dec. 2023</t>
  </si>
  <si>
    <t>https://www.samsung.com/global/sustainability/landing_hub-file/AY_wFGPKBvIALYNu/TV_QLED_Q60C_Environmental_Report_EN_2503.pdf</t>
  </si>
  <si>
    <t>https://www.apple.com/environment/pdf/products/ipad/iPad_Air_11_and_13_inch_M3_PER_MAR2025.pdf</t>
  </si>
  <si>
    <t>Fairbuds XL headphones</t>
  </si>
  <si>
    <t>Sánchez (2023)</t>
  </si>
  <si>
    <t>Sánchez, D., S. J. Baur, and M. Proske. "Life Cycle Assessment of the Fairphone Fairbuds XL. Berlin: Fraunhofer IZM." Aug. 2023</t>
  </si>
  <si>
    <t>https://www.fairphone.com/wp-content/uploads/2023/08/20230809_Final_report_Fairphone_Headphones.pdf</t>
  </si>
  <si>
    <t>Sánchez, D., S. J. Baur, and L. Eguren. "Life Cycle Assessment of the Fairphone 5" 19.06. 2020–Version 2</t>
  </si>
  <si>
    <t>Fish (farmed)</t>
  </si>
  <si>
    <t>Hardcover book, recycled</t>
  </si>
  <si>
    <t xml:space="preserve">Average carbon footprint of a hardcover book (320 pages, 0.75 kg) for which the cover and inside papers were produced in the United States and printed in Canada, which is distributed globally, and which is recycled at the end of its 'life'. The calculation covers pulp production, paper production, transport from paper mills to printer, the printing process, and worldwide distribution. </t>
  </si>
  <si>
    <t>Hardcover book, landfilled</t>
  </si>
  <si>
    <t xml:space="preserve">Average carbon footprint of a hardcover book (320 pages, 0.75 kg) for which the cover and inside papers were produced in the United States and printed in Canada, which is distributed globally, and which ends up in a landfill at the end of its 'life'. The calculation covers pulp production, paper production, transport from paper mills to printer, the printing process, and worldwide distribution. </t>
  </si>
  <si>
    <t>Wells, Jean‐Robert, et al. "Carbon footprint assessment of a paperback book: Can planned integration of deinked market pulp be detrimental to climate?." Journal of Industrial Ecology 16.2 (2012): 212-222.</t>
  </si>
  <si>
    <t>Wells (2012)</t>
  </si>
  <si>
    <t>https://www.researchgate.net/publication/255699164_Carbon_Footprint_Assessment_of_a_Paperback_Book</t>
  </si>
  <si>
    <t>Pair of jeans</t>
  </si>
  <si>
    <t>T-shirt</t>
  </si>
  <si>
    <t>0.2 kg</t>
  </si>
  <si>
    <t>Sohn, Joshua, et al. "The environmental impacts of clothing: Evidence from United States and three European countries." Sustainable Production and Consumption 27 (2021): 2153-2164.</t>
  </si>
  <si>
    <t>Sohn (2021)</t>
  </si>
  <si>
    <t>https://www.sciencedirect.com/science/article/pii/S2352550921001603</t>
  </si>
  <si>
    <t>Average carbon footprint of the production and transportation of a 1 kg pair of cotton jeans, assuming a transoceanic shipment from Thailand to Europe or the US, and 200 km of transportation over land in a truck.
The calculation does not include the use phase of the clothing (washing and drying), nor does it include the disposal (recycling, downcycling, or landfilling).</t>
  </si>
  <si>
    <t>Average carbon footprint of the production and transportation of a 200 grams cotton shirt, assuming a transoceanic shipment from Thailand to Europe or the US, and 200 km of transportation over land in a truck.
The calculation does not include the use phase of the clothing (washing and drying), nor does it include the disposal (recycling, downcycling, or landfilling).</t>
  </si>
  <si>
    <t>Google Drive storage, per year</t>
  </si>
  <si>
    <t>1 GB</t>
  </si>
  <si>
    <t>Average carbon footprint associated with cloud data storage, due to electricity used by the data centres. The value is representative for Google's cloud storage in Europe, and does not included the uploading phase of storing data in the cloud. In other area's, the value might be different due to differences in the electricity mix.</t>
  </si>
  <si>
    <t>Infrastructure</t>
  </si>
  <si>
    <t>European Commission (2023)</t>
  </si>
  <si>
    <t>European Commission: Directorate-General for Energy, Ramboll, Resilio, Louguet, A., Caspani, M. et al. "Assessment of the energy footprint of digital actions and services."  Publications Office of the European Union (2023)</t>
  </si>
  <si>
    <t>https://op.europa.eu/en/publication-detail/-/publication/d3b6c0a1-1171-11ee-b12e-01aa75ed71a1</t>
  </si>
  <si>
    <t>Average carbon footprint for the production and transportation of the Fairphone 5 smartphone. This does not include the use phase and the 'end of life' phase (such as recycling and waste management). Note that Fairphones are some of the most sustainably manufactured smartphones, and their carbon footprint is significantly lower than those of other typical smartphones as a result.
Few phones have a thoroughly analysed carbon footprint, and methodologies differ, making comparisons between models difficult. For that reason, the value of a single, well-researched model has been included in this collection instead of some average.</t>
  </si>
  <si>
    <t>Average carbon footprint for the production and transportation of Fairphone's Fairbuds XL headphones. This does not include the use phase and the 'end of life' phase (such as recycling and waste management). Note that Fairphone's headphones are some of the most sustainably manufactured headphones, and their carbon footprint is lower than those of other typical smartphones as a result.
Few headphones have a thoroughly analysed carbon footprint, and methodologies differ, making comparisons between models difficult. For that reason, the value of a single, well-researched model has been included in this collection instead of some average.</t>
  </si>
  <si>
    <t>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t>
  </si>
  <si>
    <t>1 day</t>
  </si>
  <si>
    <t>Electricity use</t>
  </si>
  <si>
    <t>Ember (2025)</t>
  </si>
  <si>
    <t>Ember (2025); Energy Institute - Statistical Review of World Energy (2025) – with major processing by Our World in Data. “Carbon intensity of electricity generation – Ember” [dataset]. Ember, “Yearly Electricity Data Europe”; Ember, “Yearly Electricity Data”; Energy Institute, “Statistical Review of World Energy” [original data].</t>
  </si>
  <si>
    <t>https://ourworldindata.org/electricity-mix#carbon-intensity-of-electricity</t>
  </si>
  <si>
    <t>World Bank (2025)</t>
  </si>
  <si>
    <t>World Bank (2025). "Electric power transmission and distribution losses (% of output)" [dataset]. International Energy Agency (IEA), "Energy Statistics Data Browser" [original data]</t>
  </si>
  <si>
    <t>https://data.worldbank.org/indicator/EG.ELC.LOSS.ZS</t>
  </si>
  <si>
    <t>https://oee.nrcan.gc.ca/corporate/statistics/neud/dpa/showTable.cfm?type=CM&amp;sector=aaa&amp;juris=ca&amp;year=2021&amp;rn=6&amp;page=1</t>
  </si>
  <si>
    <t>Natural Resources Canada (2023)</t>
  </si>
  <si>
    <t>11, 12, 13</t>
  </si>
  <si>
    <t>Average daily carbon footprint stemming from the electricity use of running a refrigerator-freezer from the European Union (EU) market.
The calculation is made using the average annual energy consumption of this type of refrigerators sold in 2020 in the EU, multiplied by the carbon footprint per kWh of electricity in the EU.</t>
  </si>
  <si>
    <t>European Commission (2025)</t>
  </si>
  <si>
    <t>Office of Energy Efficiency-Demand Policy and Analysis Division. “Table 6 – Average Annual UEC of Total Refrigerators by Type, 2000–2021 (kWh/Yr).” Natural Resources Canada, 24 Oct. 2023</t>
  </si>
  <si>
    <t>https://circabc.europa.eu/ui/group/418195ae-4919-45fa-a959-3b695c9aab28/library/10002e1f-6e23-4465-b3cc-0c301a9f294c/details</t>
  </si>
  <si>
    <t>European Commission. "2024 Ecodesign Impact Accounting Status Report part 2." CIRCABC, 9 Jan 2025</t>
  </si>
  <si>
    <t>11, 12, 14</t>
  </si>
  <si>
    <t>Mid-range smartphone, EU</t>
  </si>
  <si>
    <t>Fridge freezer, EU</t>
  </si>
  <si>
    <t>Fridge freezer, US</t>
  </si>
  <si>
    <t>1 year</t>
  </si>
  <si>
    <t>Average annual carbon footprint stemming from the electricity use of charging a mid-range smartphone in the European Union.
The calculation is made using the average annual energy consumption of this type of smartphones sold in 2020 in the EU, multiplied by the carbon footprint per kWh of electricity in the EU.</t>
  </si>
  <si>
    <t>Mid-range smartphone, US</t>
  </si>
  <si>
    <t>Average annual carbon footprint stemming from the electricity use of charging a mid-range smartphone in the United States.
The calculation is made using the average annual energy consumption of this type of smartphones sold in 2020 in the EU, multiplied by the carbon footprint per kWh of electricity in the US, thus assuming that the average European mid-range smartphone resembles the American one.</t>
  </si>
  <si>
    <t>High-end smartphone, US</t>
  </si>
  <si>
    <t>High-end smartphone, EU</t>
  </si>
  <si>
    <t>Average annual carbon footprint stemming from the electricity use of charging a high-end smartphone in the European Union.
The calculation is made using the average annual energy consumption of this type of smartphones sold in 2020 in the EU, multiplied by the carbon footprint per kWh of electricity in the EU.</t>
  </si>
  <si>
    <t>Average annual carbon footprint stemming from the electricity use of charging a high-end smartphone in the United States.
The calculation is made using the average annual energy consumption of this type of smartphones sold in 2020 in the EU, multiplied by the carbon footprint per kWh of electricity in the US, thus assuming that the average European high-end smartphone resembles the American one.</t>
  </si>
  <si>
    <t>Dishwasher, EU</t>
  </si>
  <si>
    <t>Dishwasher, US</t>
  </si>
  <si>
    <t>1 cycle</t>
  </si>
  <si>
    <t>Average carbon footprint stemming from the electricity use of running a dishwasher from the European Union (EU) market one full cycle, including power used when idle between two cycles.
The calculation is made using the average annual energy consumption of dishwashers sold in 2020 in the EU, multiplied by the carbon footprint per kWh of electricity in the EU.</t>
  </si>
  <si>
    <t>Washing machine, US</t>
  </si>
  <si>
    <t>Washing machine, EU</t>
  </si>
  <si>
    <t>Average carbon footprint stemming from the electricity use of running a dishwasher from the American market one full cycle, including power used when idle between cycles.
The calculation is made using the average energy consumption per cycle of dishwashers sold in 2020 in Canada, multiplied by the carbon footprint per kWh of electricity in the United States, thus assuming that the average Canadian dishwasher resembles the American one.</t>
  </si>
  <si>
    <t>Average daily carbon footprint stemming from the electricity use of running a refrigerator-freezer from the American market, with automatic defrost and bottom-mounted freezer, but without through-the-door ice service.
The calculation is made using the average annual energy consumption of this type of refrigerators ('Type 5') sold in 2021 in Canada, multiplied by the carbon footprint per kWh of electricity in the United States, thus assuming that the average Canadian Type 5 fridge-freezer resembles the American one.</t>
  </si>
  <si>
    <t>Average carbon footprint stemming from the electricity use of running a washing machine from the American market one full cycle, including power used when idle between cycles.
The calculation is made using the average energy consumption per cycle of washing machines sold in 2020 in Canada, multiplied by the carbon footprint per kWh of electricity in the United States, thus assuming that the average Canadian washing machine resembles the American one.</t>
  </si>
  <si>
    <t>Laundry dryer, US</t>
  </si>
  <si>
    <t>Laundry dryer, EU</t>
  </si>
  <si>
    <t>Average carbon footprint stemming from the electricity use of running a laundry drier from the American market one full cycle, including power used when idle between cycles.
The calculation is made using the average energy consumption per cycle of laundry driers sold in 2020 in Canada, multiplied by the carbon footprint per kWh of electricity in the United States, thus assuming that the average Canadian laundry drier resembles the American one.</t>
  </si>
  <si>
    <t>Average carbon footprint stemming from the electricity use of running a laundry drier from the European Union (EU) market one full cycle, including power used when idle between two cycles.
The calculation is made using the average annual energy consumption of laundry machines sold in 2020 in the EU, multiplied by the carbon footprint per kWh of electricity in the EU.</t>
  </si>
  <si>
    <t>Average carbon footprint stemming from the electricity use of running a washing machine from the European Union (EU) market one full cycle, including power used when idle between two cycles. On average, a cycle is run at 40˚C, with a 4 kg load in a machine with 7.6 kg capacity.
The calculation is made using the average annual energy consumption of washing machines sold in 2020 in the EU, multiplied by the carbon footprint per kWh of electricity in the EU.</t>
  </si>
  <si>
    <t>Plastic cup, 240 mL</t>
  </si>
  <si>
    <t>Paper cup, 240 mL</t>
  </si>
  <si>
    <t>Plastic bottle, US, 1 L</t>
  </si>
  <si>
    <t>Plastic bottle, EU, 1 L</t>
  </si>
  <si>
    <t>Glass bottle, EU, 1 L</t>
  </si>
  <si>
    <t>Glass bottle, US, 1 L</t>
  </si>
  <si>
    <t>Aseptic carton, EU, 1 L</t>
  </si>
  <si>
    <t>Aseptic carton, US, 1 L</t>
  </si>
  <si>
    <t>Bher (2024)</t>
  </si>
  <si>
    <t>Bher, Anibal, and Rafael Auras. "Life cycle assessment of packaging systems: A meta-analysis to evaluate the root of consistencies and discrepancies." Journal of Cleaner Production 476 (2024): 143785.</t>
  </si>
  <si>
    <t>https://www.sciencedirect.com/science/article/pii/S0959652624032347</t>
  </si>
  <si>
    <t>Average carbon footprint of the production and disposal of a single plastic cup with a volume of 240 mL.</t>
  </si>
  <si>
    <t>Average carbon footprint of the production and disposal of a single paperboard (thick, rigid paper) cup with a volume of 240 mL.</t>
  </si>
  <si>
    <t>Average carbon footprint of the production and disposal of a single plastic bottle with a volume of 1 L in Europe</t>
  </si>
  <si>
    <t>Average carbon footprint of the production and disposal of a single plastic bottle with a volume of 1 L in North America</t>
  </si>
  <si>
    <t>Average carbon footprint of the production and disposal of a single glass bottle with a volume of 1 L in Europe</t>
  </si>
  <si>
    <t>Average carbon footprint of the production and disposal of a single glass bottle with a volume of 1 L in North America</t>
  </si>
  <si>
    <t>Average carbon footprint of the production and disposal of a single aseptic carton with a volume of 1 L in Europe. Aseptic cartons are the multi-layered packaging cartons used for goods like milk, juices, and plant-based drinks, and typically consist of layers of paperboard, plastic, and aluminium.</t>
  </si>
  <si>
    <t>Average carbon footprint of the production and disposal of a single aseptic carton with a volume of 1 L in North America. Aseptic cartons are the multi-layered packaging cartons used for goods like milk, juices, and plant-based drinks, and typically consist of layers of paperboard, plastic, and aluminium.</t>
  </si>
  <si>
    <t>Vacuum cleaner, EU</t>
  </si>
  <si>
    <t>1 hour</t>
  </si>
  <si>
    <t>Average carbon footprint stemming from the electricity use of running a vacuum cleaner from the European Union (EU) market for one hour.
The calculation is made using the average energy consumption of vacuum cleaners sold in 2020 in the EU, multiplied by the carbon footprint per kWh of electricity in the EU.</t>
  </si>
  <si>
    <t>Paper grocery bag, EU</t>
  </si>
  <si>
    <t>Organic cotton grocery bag, EU</t>
  </si>
  <si>
    <t>Plastic grocery bag, EU</t>
  </si>
  <si>
    <t>Average carbon footprint of the production and distribution of an average LDPE plastic grocery bag. This bag has a weight of about 24 grams, a volume of 22.4 liters and a weight holding capacity of about 12 kilograms. The source assumes the bags are produced in Europe (although raw materials may be imported from elsewhere) and distributed to Danish supermarkets.
Note that the carbon footprint used here does not include the end-of-life (disposal) phase, which may include incineration, landfilling and recycling. Additionally, this footprint does not include emissions prevented by potential reuse of the bag.</t>
  </si>
  <si>
    <t>Average carbon footprint of the production and distribution of an average organic cotton grocery bag. This bag has a weight of about 252 grams, a volume of 20 liters and a weight holding capacity of about 50 kilograms. The source assumes the bags are produced in Europe (although raw materials may be imported from elsewhere) and distributed to Danish supermarkets.
Note that the carbon footprint used here does not include the end-of-life (disposal) phase, which may include incineration, landfilling and recycling. Additionally, this footprint does not include emissions prevented by potential reuse of the bag.</t>
  </si>
  <si>
    <t>Bisinella (2018)</t>
  </si>
  <si>
    <t>Bisinella, Valentina, et al. "Life Cycle Assessment of grocery carrier bags." (2018).</t>
  </si>
  <si>
    <t>https://www2.mst.dk/Udgiv/publications/2018/02/978-87-93614-73-4.pdf</t>
  </si>
  <si>
    <t>Average carbon footprint of the production and distribution of an average unbleached paper grocery bag. This bag has a weight of about 45 grams, a volume of23 liters and a weight holding capacity of about 12 kilograms. The source assumes the bags are produced in Europe (although raw materials may be imported from elsewhere) and distributed to Danish supermarkets.
Note that the carbon footprint used here does not include the end-of-life (disposal) phase, which may include incineration, landfilling and recycling. Additionally, this footprint does not include emissions prevented by potential reuse of the bag.</t>
  </si>
  <si>
    <t>Average annual carbon footprint stemming from the electricity use of a smart LED light bulb in standby mode. This assumes the bulb is always connected to a power source, but never turned on.
The calculation is made using the average annual energy consumption of common LED smart lights, multiplied by the carbon footprint per kWh of electricity in the EU.</t>
  </si>
  <si>
    <t>European Commission (2024)</t>
  </si>
  <si>
    <t>https://energy-efficient-products.ec.europa.eu/product-list/light-sources_en#consumers</t>
  </si>
  <si>
    <t>European Commission. “Light Sources.” Ecodesign Impact Accounting Overview Report 2024.</t>
  </si>
  <si>
    <t>Smart LED bulb, standby, EU</t>
  </si>
  <si>
    <t>LED bulb, EU</t>
  </si>
  <si>
    <t>500 hours</t>
  </si>
  <si>
    <t>Carbon footprint stemming from the electricity use of an LED light bulb when turned on for 500 hours, assuming a consistent power consumption of 7 Watts
The calculation is made using the average energy consumption of LED lights sold in the EU in 2020, multiplied by the carbon footprint per kWh of electricity in the EU. 500 hours is roughly the amount of time a household LED bulb is turned on throughout a year.</t>
  </si>
  <si>
    <t>11,12,17</t>
  </si>
  <si>
    <t>Dikel, E. Erhan, et al. "Evaluating the standby power consumption of smart LED bulbs." Energy and Buildings 186 (2019): 71-79.</t>
  </si>
  <si>
    <t>Dikel (2019)</t>
  </si>
  <si>
    <t>https://www.sciencedirect.com/science/article/abs/pii/S0378778818333838</t>
  </si>
  <si>
    <t>11,12,18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</si>
</sst>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0" xfId="0" applyAlignment="1">
      <alignment wrapText="1"/>
    </xf>
    <xf numFmtId="0" fontId="0" fillId="0" borderId="0" xfId="0" applyAlignment="1">
      <alignment vertical="top"/>
    </xf>
    <xf numFmtId="0" fontId="0" fillId="0" borderId="0" xfId="0" applyAlignment="1">
      <alignment vertical="top" wrapText="1"/>
    </xf>
  </cellXfs>
  <cellStyles count="2">
    <cellStyle name="Hyperlink" xfId="1" builtinId="8"/>
    <cellStyle name="Normal" xfId="0" builtinId="0"/>
  </cellStyles>
  <dxfs count="1">
    <dxf>
      <alignment horizontal="general"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ADF59C-B5EC-4703-A530-54EEE8FCC6C7}" name="Table1" displayName="Table1" ref="A1:G91" totalsRowShown="0">
  <autoFilter ref="A1:G91" xr:uid="{F6ADF59C-B5EC-4703-A530-54EEE8FCC6C7}"/>
  <tableColumns count="7">
    <tableColumn id="1" xr3:uid="{45A886C0-C674-4AC9-8337-717B8C7CCBCB}" name="id"/>
    <tableColumn id="2" xr3:uid="{DFBB2C40-BDE6-466D-B716-833545A1ECC4}" name="title"/>
    <tableColumn id="7" xr3:uid="{E050B37F-592C-4A46-B27C-BA4963FFD560}" name="quantity"/>
    <tableColumn id="3" xr3:uid="{C0A046DA-D1BA-4495-80E4-8F862BB43A3E}" name="description" dataDxfId="0"/>
    <tableColumn id="4" xr3:uid="{E37DCBD3-75BB-4E21-AC4E-36CF22889050}" name="value"/>
    <tableColumn id="5" xr3:uid="{096048CD-4F38-4473-B619-542187D30E01}" name="category"/>
    <tableColumn id="6" xr3:uid="{4F53B61A-A1CD-42F0-9E05-9AA086B37D99}" name="sourc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2352550921001603" TargetMode="External"/><Relationship Id="rId13" Type="http://schemas.openxmlformats.org/officeDocument/2006/relationships/hyperlink" Target="https://energy-efficient-products.ec.europa.eu/product-list/light-sources_en" TargetMode="External"/><Relationship Id="rId3" Type="http://schemas.openxmlformats.org/officeDocument/2006/relationships/hyperlink" Target="https://www.fairphone.com/wp-content/uploads/2024/09/Fairphone5_LCA_Report_2024.pdf" TargetMode="External"/><Relationship Id="rId7" Type="http://schemas.openxmlformats.org/officeDocument/2006/relationships/hyperlink" Target="https://www.researchgate.net/publication/255699164_Carbon_Footprint_Assessment_of_a_Paperback_Book" TargetMode="External"/><Relationship Id="rId12" Type="http://schemas.openxmlformats.org/officeDocument/2006/relationships/hyperlink" Target="https://www2.mst.dk/Udgiv/publications/2018/02/978-87-93614-73-4.pdf" TargetMode="External"/><Relationship Id="rId2" Type="http://schemas.openxmlformats.org/officeDocument/2006/relationships/hyperlink" Target="http://www.gov.uk/government/publications/greenhouse-gas-reporting-conversion-factors-2025" TargetMode="External"/><Relationship Id="rId1" Type="http://schemas.openxmlformats.org/officeDocument/2006/relationships/hyperlink" Target="https://www.science.org/doi/abs/10.1126/science.aaq0216" TargetMode="External"/><Relationship Id="rId6" Type="http://schemas.openxmlformats.org/officeDocument/2006/relationships/hyperlink" Target="https://www.fairphone.com/wp-content/uploads/2023/08/20230809_Final_report_Fairphone_Headphones.pdf" TargetMode="External"/><Relationship Id="rId11" Type="http://schemas.openxmlformats.org/officeDocument/2006/relationships/hyperlink" Target="https://circabc.europa.eu/ui/group/418195ae-4919-45fa-a959-3b695c9aab28/library/10002e1f-6e23-4465-b3cc-0c301a9f294c/details" TargetMode="External"/><Relationship Id="rId5" Type="http://schemas.openxmlformats.org/officeDocument/2006/relationships/hyperlink" Target="https://www.samsung.com/global/sustainability/landing_hub-file/AY_wFGPKBvIALYNu/TV_QLED_Q60C_Environmental_Report_EN_2503.pdf" TargetMode="External"/><Relationship Id="rId10" Type="http://schemas.openxmlformats.org/officeDocument/2006/relationships/hyperlink" Target="https://oee.nrcan.gc.ca/corporate/statistics/neud/dpa/showTable.cfm?type=CM&amp;sector=aaa&amp;juris=ca&amp;year=2021&amp;rn=6&amp;page=1" TargetMode="External"/><Relationship Id="rId4" Type="http://schemas.openxmlformats.org/officeDocument/2006/relationships/hyperlink" Target="https://www.apple.com/environment/pdf/products/notebooks/MacBook_Pro_16-inch_PER_Oct2024.pdf" TargetMode="External"/><Relationship Id="rId9" Type="http://schemas.openxmlformats.org/officeDocument/2006/relationships/hyperlink" Target="https://ourworldindata.org/electricity-mix" TargetMode="External"/><Relationship Id="rId14" Type="http://schemas.openxmlformats.org/officeDocument/2006/relationships/hyperlink" Target="https://www.sciencedirect.com/science/article/abs/pii/S03787788183338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DD7B3-9F87-4867-B5F9-7A2411C23C3C}">
  <dimension ref="A1:B6"/>
  <sheetViews>
    <sheetView workbookViewId="0">
      <selection activeCell="B14" sqref="B14"/>
    </sheetView>
  </sheetViews>
  <sheetFormatPr defaultRowHeight="14.6" x14ac:dyDescent="0.4"/>
  <cols>
    <col min="1" max="1" width="14.23046875" bestFit="1" customWidth="1"/>
    <col min="2" max="2" width="76.53515625" style="2" customWidth="1"/>
  </cols>
  <sheetData>
    <row r="1" spans="1:2" x14ac:dyDescent="0.4">
      <c r="A1" t="s">
        <v>0</v>
      </c>
      <c r="B1" s="2" t="s">
        <v>1</v>
      </c>
    </row>
    <row r="2" spans="1:2" x14ac:dyDescent="0.4">
      <c r="A2" t="s">
        <v>2</v>
      </c>
      <c r="B2" s="2" t="s">
        <v>79</v>
      </c>
    </row>
    <row r="3" spans="1:2" x14ac:dyDescent="0.4">
      <c r="A3" t="s">
        <v>3</v>
      </c>
      <c r="B3" s="2" t="s">
        <v>4</v>
      </c>
    </row>
    <row r="4" spans="1:2" x14ac:dyDescent="0.4">
      <c r="A4" t="s">
        <v>5</v>
      </c>
      <c r="B4" s="2" t="s">
        <v>80</v>
      </c>
    </row>
    <row r="5" spans="1:2" x14ac:dyDescent="0.4">
      <c r="A5" t="s">
        <v>81</v>
      </c>
      <c r="B5" s="2" t="s">
        <v>35</v>
      </c>
    </row>
    <row r="6" spans="1:2" ht="87.45" x14ac:dyDescent="0.4">
      <c r="A6" t="s">
        <v>9</v>
      </c>
      <c r="B6" s="2" t="s">
        <v>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1"/>
  <sheetViews>
    <sheetView tabSelected="1" topLeftCell="A69" workbookViewId="0">
      <selection activeCell="F93" sqref="F93"/>
    </sheetView>
  </sheetViews>
  <sheetFormatPr defaultRowHeight="14.6" x14ac:dyDescent="0.4"/>
  <cols>
    <col min="1" max="1" width="4.765625" bestFit="1" customWidth="1"/>
    <col min="2" max="2" width="29.61328125" bestFit="1" customWidth="1"/>
    <col min="3" max="3" width="10.15234375" bestFit="1" customWidth="1"/>
    <col min="4" max="4" width="32" customWidth="1"/>
    <col min="5" max="5" width="8.84375" bestFit="1" customWidth="1"/>
    <col min="6" max="6" width="10.3046875" bestFit="1" customWidth="1"/>
    <col min="7" max="7" width="9.53515625" bestFit="1" customWidth="1"/>
  </cols>
  <sheetData>
    <row r="1" spans="1:7" x14ac:dyDescent="0.4">
      <c r="A1" t="s">
        <v>0</v>
      </c>
      <c r="B1" t="s">
        <v>5</v>
      </c>
      <c r="C1" t="s">
        <v>2</v>
      </c>
      <c r="D1" t="s">
        <v>9</v>
      </c>
      <c r="E1" t="s">
        <v>6</v>
      </c>
      <c r="F1" t="s">
        <v>7</v>
      </c>
      <c r="G1" t="s">
        <v>8</v>
      </c>
    </row>
    <row r="2" spans="1:7" x14ac:dyDescent="0.4">
      <c r="A2">
        <v>1</v>
      </c>
      <c r="B2" t="s">
        <v>77</v>
      </c>
      <c r="C2" t="s">
        <v>39</v>
      </c>
      <c r="D2" t="s">
        <v>173</v>
      </c>
      <c r="E2">
        <v>0.42840080400000002</v>
      </c>
      <c r="F2" t="s">
        <v>83</v>
      </c>
      <c r="G2">
        <v>1</v>
      </c>
    </row>
    <row r="3" spans="1:7" x14ac:dyDescent="0.4">
      <c r="A3">
        <v>2</v>
      </c>
      <c r="B3" t="s">
        <v>78</v>
      </c>
      <c r="C3" t="s">
        <v>39</v>
      </c>
      <c r="D3" t="s">
        <v>173</v>
      </c>
      <c r="E3">
        <v>0.86189638200000007</v>
      </c>
      <c r="F3" t="s">
        <v>83</v>
      </c>
      <c r="G3">
        <v>1</v>
      </c>
    </row>
    <row r="4" spans="1:7" x14ac:dyDescent="0.4">
      <c r="A4">
        <v>3</v>
      </c>
      <c r="B4" t="s">
        <v>41</v>
      </c>
      <c r="C4" t="s">
        <v>40</v>
      </c>
      <c r="D4" t="s">
        <v>173</v>
      </c>
      <c r="E4">
        <v>1.1791714819999999</v>
      </c>
      <c r="F4" t="s">
        <v>83</v>
      </c>
      <c r="G4">
        <v>1</v>
      </c>
    </row>
    <row r="5" spans="1:7" x14ac:dyDescent="0.4">
      <c r="A5">
        <v>4</v>
      </c>
      <c r="B5" t="s">
        <v>42</v>
      </c>
      <c r="C5" t="s">
        <v>39</v>
      </c>
      <c r="D5" t="s">
        <v>173</v>
      </c>
      <c r="E5">
        <v>99.477404613999994</v>
      </c>
      <c r="F5" t="s">
        <v>83</v>
      </c>
      <c r="G5">
        <v>1</v>
      </c>
    </row>
    <row r="6" spans="1:7" x14ac:dyDescent="0.4">
      <c r="A6">
        <v>5</v>
      </c>
      <c r="B6" t="s">
        <v>43</v>
      </c>
      <c r="C6" t="s">
        <v>39</v>
      </c>
      <c r="D6" t="s">
        <v>173</v>
      </c>
      <c r="E6">
        <v>33.301395421999999</v>
      </c>
      <c r="F6" t="s">
        <v>83</v>
      </c>
      <c r="G6">
        <v>1</v>
      </c>
    </row>
    <row r="7" spans="1:7" x14ac:dyDescent="0.4">
      <c r="A7">
        <v>6</v>
      </c>
      <c r="B7" t="s">
        <v>44</v>
      </c>
      <c r="C7" t="s">
        <v>39</v>
      </c>
      <c r="D7" t="s">
        <v>173</v>
      </c>
      <c r="E7">
        <v>1.8120765000000001</v>
      </c>
      <c r="F7" t="s">
        <v>83</v>
      </c>
      <c r="G7">
        <v>1</v>
      </c>
    </row>
    <row r="8" spans="1:7" x14ac:dyDescent="0.4">
      <c r="A8">
        <v>7</v>
      </c>
      <c r="B8" t="s">
        <v>45</v>
      </c>
      <c r="C8" t="s">
        <v>39</v>
      </c>
      <c r="D8" t="s">
        <v>173</v>
      </c>
      <c r="E8">
        <v>1.531885242</v>
      </c>
      <c r="F8" t="s">
        <v>83</v>
      </c>
      <c r="G8">
        <v>1</v>
      </c>
    </row>
    <row r="9" spans="1:7" x14ac:dyDescent="0.4">
      <c r="A9">
        <v>8</v>
      </c>
      <c r="B9" t="s">
        <v>38</v>
      </c>
      <c r="C9" t="s">
        <v>39</v>
      </c>
      <c r="D9" t="s">
        <v>173</v>
      </c>
      <c r="E9">
        <v>0.51455643099999993</v>
      </c>
      <c r="F9" t="s">
        <v>83</v>
      </c>
      <c r="G9">
        <v>1</v>
      </c>
    </row>
    <row r="10" spans="1:7" x14ac:dyDescent="0.4">
      <c r="A10">
        <v>9</v>
      </c>
      <c r="B10" t="s">
        <v>46</v>
      </c>
      <c r="C10" t="s">
        <v>39</v>
      </c>
      <c r="D10" t="s">
        <v>173</v>
      </c>
      <c r="E10">
        <v>3.1989241579999996</v>
      </c>
      <c r="F10" t="s">
        <v>83</v>
      </c>
      <c r="G10">
        <v>1</v>
      </c>
    </row>
    <row r="11" spans="1:7" x14ac:dyDescent="0.4">
      <c r="A11">
        <v>10</v>
      </c>
      <c r="B11" t="s">
        <v>47</v>
      </c>
      <c r="C11" t="s">
        <v>39</v>
      </c>
      <c r="D11" t="s">
        <v>173</v>
      </c>
      <c r="E11">
        <v>1.315674961</v>
      </c>
      <c r="F11" t="s">
        <v>83</v>
      </c>
      <c r="G11">
        <v>1</v>
      </c>
    </row>
    <row r="12" spans="1:7" x14ac:dyDescent="0.4">
      <c r="A12">
        <v>11</v>
      </c>
      <c r="B12" t="s">
        <v>48</v>
      </c>
      <c r="C12" t="s">
        <v>39</v>
      </c>
      <c r="D12" t="s">
        <v>173</v>
      </c>
      <c r="E12">
        <v>23.877581218</v>
      </c>
      <c r="F12" t="s">
        <v>83</v>
      </c>
      <c r="G12">
        <v>1</v>
      </c>
    </row>
    <row r="13" spans="1:7" x14ac:dyDescent="0.4">
      <c r="A13">
        <v>12</v>
      </c>
      <c r="B13" t="s">
        <v>49</v>
      </c>
      <c r="C13" t="s">
        <v>39</v>
      </c>
      <c r="D13" t="s">
        <v>173</v>
      </c>
      <c r="E13">
        <v>0.38762470700000001</v>
      </c>
      <c r="F13" t="s">
        <v>83</v>
      </c>
      <c r="G13">
        <v>1</v>
      </c>
    </row>
    <row r="14" spans="1:7" x14ac:dyDescent="0.4">
      <c r="A14">
        <v>13</v>
      </c>
      <c r="B14" t="s">
        <v>76</v>
      </c>
      <c r="C14" t="s">
        <v>39</v>
      </c>
      <c r="D14" t="s">
        <v>173</v>
      </c>
      <c r="E14">
        <v>28.527906082999998</v>
      </c>
      <c r="F14" t="s">
        <v>83</v>
      </c>
      <c r="G14">
        <v>1</v>
      </c>
    </row>
    <row r="15" spans="1:7" x14ac:dyDescent="0.4">
      <c r="A15">
        <v>14</v>
      </c>
      <c r="B15" t="s">
        <v>50</v>
      </c>
      <c r="C15" t="s">
        <v>39</v>
      </c>
      <c r="D15" t="s">
        <v>173</v>
      </c>
      <c r="E15">
        <v>46.646745190999994</v>
      </c>
      <c r="F15" t="s">
        <v>83</v>
      </c>
      <c r="G15">
        <v>1</v>
      </c>
    </row>
    <row r="16" spans="1:7" x14ac:dyDescent="0.4">
      <c r="A16">
        <v>15</v>
      </c>
      <c r="B16" t="s">
        <v>51</v>
      </c>
      <c r="C16" t="s">
        <v>39</v>
      </c>
      <c r="D16" t="s">
        <v>173</v>
      </c>
      <c r="E16">
        <v>4.6694709529999994</v>
      </c>
      <c r="F16" t="s">
        <v>83</v>
      </c>
      <c r="G16">
        <v>1</v>
      </c>
    </row>
    <row r="17" spans="1:7" x14ac:dyDescent="0.4">
      <c r="A17">
        <v>16</v>
      </c>
      <c r="B17" t="s">
        <v>148</v>
      </c>
      <c r="C17" t="s">
        <v>39</v>
      </c>
      <c r="D17" t="s">
        <v>173</v>
      </c>
      <c r="E17">
        <v>13.632445142000002</v>
      </c>
      <c r="F17" t="s">
        <v>83</v>
      </c>
      <c r="G17">
        <v>1</v>
      </c>
    </row>
    <row r="18" spans="1:7" x14ac:dyDescent="0.4">
      <c r="A18">
        <v>17</v>
      </c>
      <c r="B18" t="s">
        <v>52</v>
      </c>
      <c r="C18" t="s">
        <v>39</v>
      </c>
      <c r="D18" t="s">
        <v>173</v>
      </c>
      <c r="E18">
        <v>3.2300135869999997</v>
      </c>
      <c r="F18" t="s">
        <v>83</v>
      </c>
      <c r="G18">
        <v>1</v>
      </c>
    </row>
    <row r="19" spans="1:7" x14ac:dyDescent="0.4">
      <c r="A19">
        <v>18</v>
      </c>
      <c r="B19" t="s">
        <v>53</v>
      </c>
      <c r="C19" t="s">
        <v>39</v>
      </c>
      <c r="D19" t="s">
        <v>173</v>
      </c>
      <c r="E19">
        <v>39.722269428000004</v>
      </c>
      <c r="F19" t="s">
        <v>83</v>
      </c>
      <c r="G19">
        <v>1</v>
      </c>
    </row>
    <row r="20" spans="1:7" x14ac:dyDescent="0.4">
      <c r="A20">
        <v>19</v>
      </c>
      <c r="B20" t="s">
        <v>54</v>
      </c>
      <c r="C20" t="s">
        <v>39</v>
      </c>
      <c r="D20" t="s">
        <v>173</v>
      </c>
      <c r="E20">
        <v>1.7015114969999998</v>
      </c>
      <c r="F20" t="s">
        <v>83</v>
      </c>
      <c r="G20">
        <v>1</v>
      </c>
    </row>
    <row r="21" spans="1:7" x14ac:dyDescent="0.4">
      <c r="A21">
        <v>20</v>
      </c>
      <c r="B21" t="s">
        <v>55</v>
      </c>
      <c r="C21" t="s">
        <v>40</v>
      </c>
      <c r="D21" t="s">
        <v>173</v>
      </c>
      <c r="E21">
        <v>3.1517196109999999</v>
      </c>
      <c r="F21" t="s">
        <v>83</v>
      </c>
      <c r="G21">
        <v>1</v>
      </c>
    </row>
    <row r="22" spans="1:7" x14ac:dyDescent="0.4">
      <c r="A22">
        <v>21</v>
      </c>
      <c r="B22" t="s">
        <v>56</v>
      </c>
      <c r="C22" t="s">
        <v>39</v>
      </c>
      <c r="D22" t="s">
        <v>173</v>
      </c>
      <c r="E22">
        <v>0.43313528200000012</v>
      </c>
      <c r="F22" t="s">
        <v>83</v>
      </c>
      <c r="G22">
        <v>1</v>
      </c>
    </row>
    <row r="23" spans="1:7" x14ac:dyDescent="0.4">
      <c r="A23">
        <v>22</v>
      </c>
      <c r="B23" t="s">
        <v>57</v>
      </c>
      <c r="C23" t="s">
        <v>39</v>
      </c>
      <c r="D23" t="s">
        <v>173</v>
      </c>
      <c r="E23">
        <v>2.4804494870000005</v>
      </c>
      <c r="F23" t="s">
        <v>83</v>
      </c>
      <c r="G23">
        <v>1</v>
      </c>
    </row>
    <row r="24" spans="1:7" x14ac:dyDescent="0.4">
      <c r="A24">
        <v>23</v>
      </c>
      <c r="B24" t="s">
        <v>58</v>
      </c>
      <c r="C24" t="s">
        <v>40</v>
      </c>
      <c r="D24" t="s">
        <v>173</v>
      </c>
      <c r="E24">
        <v>5.4248758440000007</v>
      </c>
      <c r="F24" t="s">
        <v>83</v>
      </c>
      <c r="G24">
        <v>1</v>
      </c>
    </row>
    <row r="25" spans="1:7" x14ac:dyDescent="0.4">
      <c r="A25">
        <v>24</v>
      </c>
      <c r="B25" t="s">
        <v>59</v>
      </c>
      <c r="C25" t="s">
        <v>39</v>
      </c>
      <c r="D25" t="s">
        <v>173</v>
      </c>
      <c r="E25">
        <v>0.49676306399999992</v>
      </c>
      <c r="F25" t="s">
        <v>83</v>
      </c>
      <c r="G25">
        <v>1</v>
      </c>
    </row>
    <row r="26" spans="1:7" x14ac:dyDescent="0.4">
      <c r="A26">
        <v>25</v>
      </c>
      <c r="B26" t="s">
        <v>60</v>
      </c>
      <c r="C26" t="s">
        <v>40</v>
      </c>
      <c r="D26" t="s">
        <v>173</v>
      </c>
      <c r="E26">
        <v>7.316770492999999</v>
      </c>
      <c r="F26" t="s">
        <v>83</v>
      </c>
      <c r="G26">
        <v>1</v>
      </c>
    </row>
    <row r="27" spans="1:7" x14ac:dyDescent="0.4">
      <c r="A27">
        <v>26</v>
      </c>
      <c r="B27" t="s">
        <v>61</v>
      </c>
      <c r="C27" t="s">
        <v>39</v>
      </c>
      <c r="D27" t="s">
        <v>173</v>
      </c>
      <c r="E27">
        <v>0.97508091699999988</v>
      </c>
      <c r="F27" t="s">
        <v>83</v>
      </c>
      <c r="G27">
        <v>1</v>
      </c>
    </row>
    <row r="28" spans="1:7" x14ac:dyDescent="0.4">
      <c r="A28">
        <v>27</v>
      </c>
      <c r="B28" t="s">
        <v>62</v>
      </c>
      <c r="C28" t="s">
        <v>39</v>
      </c>
      <c r="D28" t="s">
        <v>173</v>
      </c>
      <c r="E28">
        <v>12.305681779000002</v>
      </c>
      <c r="F28" t="s">
        <v>83</v>
      </c>
      <c r="G28">
        <v>1</v>
      </c>
    </row>
    <row r="29" spans="1:7" x14ac:dyDescent="0.4">
      <c r="A29">
        <v>28</v>
      </c>
      <c r="B29" t="s">
        <v>63</v>
      </c>
      <c r="C29" t="s">
        <v>39</v>
      </c>
      <c r="D29" t="s">
        <v>173</v>
      </c>
      <c r="E29">
        <v>0.46013409900000002</v>
      </c>
      <c r="F29" t="s">
        <v>83</v>
      </c>
      <c r="G29">
        <v>1</v>
      </c>
    </row>
    <row r="30" spans="1:7" x14ac:dyDescent="0.4">
      <c r="A30">
        <v>29</v>
      </c>
      <c r="B30" t="s">
        <v>64</v>
      </c>
      <c r="C30" t="s">
        <v>39</v>
      </c>
      <c r="D30" t="s">
        <v>173</v>
      </c>
      <c r="E30">
        <v>9.8658236299999995</v>
      </c>
      <c r="F30" t="s">
        <v>83</v>
      </c>
      <c r="G30">
        <v>1</v>
      </c>
    </row>
    <row r="31" spans="1:7" x14ac:dyDescent="0.4">
      <c r="A31">
        <v>30</v>
      </c>
      <c r="B31" t="s">
        <v>65</v>
      </c>
      <c r="C31" t="s">
        <v>40</v>
      </c>
      <c r="D31" t="s">
        <v>173</v>
      </c>
      <c r="E31">
        <v>3.7676725909999993</v>
      </c>
      <c r="F31" t="s">
        <v>83</v>
      </c>
      <c r="G31">
        <v>1</v>
      </c>
    </row>
    <row r="32" spans="1:7" x14ac:dyDescent="0.4">
      <c r="A32">
        <v>31</v>
      </c>
      <c r="B32" t="s">
        <v>66</v>
      </c>
      <c r="C32" t="s">
        <v>39</v>
      </c>
      <c r="D32" t="s">
        <v>173</v>
      </c>
      <c r="E32">
        <v>4.4516458309999996</v>
      </c>
      <c r="F32" t="s">
        <v>83</v>
      </c>
      <c r="G32">
        <v>1</v>
      </c>
    </row>
    <row r="33" spans="1:7" x14ac:dyDescent="0.4">
      <c r="A33">
        <v>32</v>
      </c>
      <c r="B33" t="s">
        <v>67</v>
      </c>
      <c r="C33" t="s">
        <v>39</v>
      </c>
      <c r="D33" t="s">
        <v>173</v>
      </c>
      <c r="E33">
        <v>0.42628005300000005</v>
      </c>
      <c r="F33" t="s">
        <v>83</v>
      </c>
      <c r="G33">
        <v>1</v>
      </c>
    </row>
    <row r="34" spans="1:7" x14ac:dyDescent="0.4">
      <c r="A34">
        <v>33</v>
      </c>
      <c r="B34" t="s">
        <v>75</v>
      </c>
      <c r="C34" t="s">
        <v>39</v>
      </c>
      <c r="D34" t="s">
        <v>173</v>
      </c>
      <c r="E34">
        <v>26.865862344</v>
      </c>
      <c r="F34" t="s">
        <v>83</v>
      </c>
      <c r="G34">
        <v>1</v>
      </c>
    </row>
    <row r="35" spans="1:7" x14ac:dyDescent="0.4">
      <c r="A35">
        <v>34</v>
      </c>
      <c r="B35" t="s">
        <v>68</v>
      </c>
      <c r="C35" t="s">
        <v>40</v>
      </c>
      <c r="D35" t="s">
        <v>173</v>
      </c>
      <c r="E35">
        <v>0.97517915300000002</v>
      </c>
      <c r="F35" t="s">
        <v>83</v>
      </c>
      <c r="G35">
        <v>1</v>
      </c>
    </row>
    <row r="36" spans="1:7" x14ac:dyDescent="0.4">
      <c r="A36">
        <v>35</v>
      </c>
      <c r="B36" t="s">
        <v>69</v>
      </c>
      <c r="C36" t="s">
        <v>40</v>
      </c>
      <c r="D36" t="s">
        <v>173</v>
      </c>
      <c r="E36">
        <v>6.3244715190000012</v>
      </c>
      <c r="F36" t="s">
        <v>83</v>
      </c>
      <c r="G36">
        <v>1</v>
      </c>
    </row>
    <row r="37" spans="1:7" x14ac:dyDescent="0.4">
      <c r="A37">
        <v>36</v>
      </c>
      <c r="B37" t="s">
        <v>70</v>
      </c>
      <c r="C37" t="s">
        <v>40</v>
      </c>
      <c r="D37" t="s">
        <v>173</v>
      </c>
      <c r="E37">
        <v>3.5994784650000007</v>
      </c>
      <c r="F37" t="s">
        <v>83</v>
      </c>
      <c r="G37">
        <v>1</v>
      </c>
    </row>
    <row r="38" spans="1:7" x14ac:dyDescent="0.4">
      <c r="A38">
        <v>37</v>
      </c>
      <c r="B38" t="s">
        <v>71</v>
      </c>
      <c r="C38" t="s">
        <v>39</v>
      </c>
      <c r="D38" t="s">
        <v>173</v>
      </c>
      <c r="E38">
        <v>3.1617443610000002</v>
      </c>
      <c r="F38" t="s">
        <v>83</v>
      </c>
      <c r="G38">
        <v>1</v>
      </c>
    </row>
    <row r="39" spans="1:7" x14ac:dyDescent="0.4">
      <c r="A39">
        <v>38</v>
      </c>
      <c r="B39" t="s">
        <v>72</v>
      </c>
      <c r="C39" t="s">
        <v>39</v>
      </c>
      <c r="D39" t="s">
        <v>173</v>
      </c>
      <c r="E39">
        <v>2.0887066549999997</v>
      </c>
      <c r="F39" t="s">
        <v>83</v>
      </c>
      <c r="G39">
        <v>1</v>
      </c>
    </row>
    <row r="40" spans="1:7" x14ac:dyDescent="0.4">
      <c r="A40">
        <v>39</v>
      </c>
      <c r="B40" t="s">
        <v>73</v>
      </c>
      <c r="C40" t="s">
        <v>39</v>
      </c>
      <c r="D40" t="s">
        <v>173</v>
      </c>
      <c r="E40">
        <v>1.5738230630000001</v>
      </c>
      <c r="F40" t="s">
        <v>83</v>
      </c>
      <c r="G40">
        <v>1</v>
      </c>
    </row>
    <row r="41" spans="1:7" x14ac:dyDescent="0.4">
      <c r="A41">
        <v>40</v>
      </c>
      <c r="B41" t="s">
        <v>74</v>
      </c>
      <c r="C41" t="s">
        <v>40</v>
      </c>
      <c r="D41" t="s">
        <v>173</v>
      </c>
      <c r="E41">
        <v>1.788762819</v>
      </c>
      <c r="F41" t="s">
        <v>83</v>
      </c>
      <c r="G41">
        <v>1</v>
      </c>
    </row>
    <row r="42" spans="1:7" x14ac:dyDescent="0.4">
      <c r="A42">
        <v>41</v>
      </c>
      <c r="B42" t="s">
        <v>87</v>
      </c>
      <c r="C42" t="s">
        <v>89</v>
      </c>
      <c r="D42" t="s">
        <v>93</v>
      </c>
      <c r="E42">
        <v>114.64</v>
      </c>
      <c r="F42" t="s">
        <v>88</v>
      </c>
      <c r="G42">
        <v>2</v>
      </c>
    </row>
    <row r="43" spans="1:7" x14ac:dyDescent="0.4">
      <c r="A43">
        <v>42</v>
      </c>
      <c r="B43" t="s">
        <v>101</v>
      </c>
      <c r="C43" t="s">
        <v>90</v>
      </c>
      <c r="D43" t="s">
        <v>92</v>
      </c>
      <c r="E43">
        <v>191.79</v>
      </c>
      <c r="F43" t="s">
        <v>88</v>
      </c>
      <c r="G43">
        <v>2</v>
      </c>
    </row>
    <row r="44" spans="1:7" x14ac:dyDescent="0.4">
      <c r="A44">
        <v>43</v>
      </c>
      <c r="B44" t="s">
        <v>102</v>
      </c>
      <c r="C44" t="s">
        <v>91</v>
      </c>
      <c r="D44" t="s">
        <v>94</v>
      </c>
      <c r="E44">
        <v>654.96</v>
      </c>
      <c r="F44" t="s">
        <v>88</v>
      </c>
      <c r="G44">
        <v>2</v>
      </c>
    </row>
    <row r="45" spans="1:7" x14ac:dyDescent="0.4">
      <c r="A45">
        <v>44</v>
      </c>
      <c r="B45" t="s">
        <v>103</v>
      </c>
      <c r="C45" t="s">
        <v>91</v>
      </c>
      <c r="D45" t="s">
        <v>95</v>
      </c>
      <c r="E45">
        <v>1899.36</v>
      </c>
      <c r="F45" t="s">
        <v>88</v>
      </c>
      <c r="G45">
        <v>2</v>
      </c>
    </row>
    <row r="46" spans="1:7" x14ac:dyDescent="0.4">
      <c r="A46">
        <v>45</v>
      </c>
      <c r="B46" t="s">
        <v>96</v>
      </c>
      <c r="C46" t="s">
        <v>97</v>
      </c>
      <c r="D46" t="s">
        <v>98</v>
      </c>
      <c r="E46">
        <v>0.9355</v>
      </c>
      <c r="F46" t="s">
        <v>88</v>
      </c>
      <c r="G46">
        <v>2</v>
      </c>
    </row>
    <row r="47" spans="1:7" x14ac:dyDescent="0.4">
      <c r="A47">
        <v>46</v>
      </c>
      <c r="B47" t="s">
        <v>99</v>
      </c>
      <c r="C47" t="s">
        <v>97</v>
      </c>
      <c r="D47" t="s">
        <v>100</v>
      </c>
      <c r="E47">
        <v>6.4664999999999999</v>
      </c>
      <c r="F47" t="s">
        <v>88</v>
      </c>
      <c r="G47">
        <v>2</v>
      </c>
    </row>
    <row r="48" spans="1:7" x14ac:dyDescent="0.4">
      <c r="A48">
        <v>47</v>
      </c>
      <c r="B48" t="s">
        <v>104</v>
      </c>
      <c r="C48" t="s">
        <v>97</v>
      </c>
      <c r="D48" t="s">
        <v>110</v>
      </c>
      <c r="E48">
        <v>8.52</v>
      </c>
      <c r="F48" t="s">
        <v>88</v>
      </c>
      <c r="G48">
        <v>2</v>
      </c>
    </row>
    <row r="49" spans="1:7" x14ac:dyDescent="0.4">
      <c r="A49">
        <v>48</v>
      </c>
      <c r="B49" t="s">
        <v>105</v>
      </c>
      <c r="C49" t="s">
        <v>97</v>
      </c>
      <c r="D49" t="s">
        <v>109</v>
      </c>
      <c r="E49">
        <v>8.1359999999999992</v>
      </c>
      <c r="F49" t="s">
        <v>88</v>
      </c>
      <c r="G49">
        <v>2</v>
      </c>
    </row>
    <row r="50" spans="1:7" x14ac:dyDescent="0.4">
      <c r="A50">
        <v>49</v>
      </c>
      <c r="B50" t="s">
        <v>106</v>
      </c>
      <c r="C50" t="s">
        <v>97</v>
      </c>
      <c r="D50" t="s">
        <v>111</v>
      </c>
      <c r="E50">
        <v>5.2305000000000001</v>
      </c>
      <c r="F50" t="s">
        <v>88</v>
      </c>
      <c r="G50">
        <v>2</v>
      </c>
    </row>
    <row r="51" spans="1:7" x14ac:dyDescent="0.4">
      <c r="A51">
        <v>50</v>
      </c>
      <c r="B51" t="s">
        <v>107</v>
      </c>
      <c r="C51" t="s">
        <v>97</v>
      </c>
      <c r="D51" t="s">
        <v>108</v>
      </c>
      <c r="E51">
        <v>2.0234999999999999</v>
      </c>
      <c r="F51" t="s">
        <v>88</v>
      </c>
      <c r="G51">
        <v>2</v>
      </c>
    </row>
    <row r="52" spans="1:7" x14ac:dyDescent="0.4">
      <c r="A52">
        <v>51</v>
      </c>
      <c r="B52" t="s">
        <v>113</v>
      </c>
      <c r="C52" t="s">
        <v>112</v>
      </c>
      <c r="D52" t="s">
        <v>114</v>
      </c>
      <c r="E52">
        <v>0.51924999999999999</v>
      </c>
      <c r="F52" t="s">
        <v>88</v>
      </c>
      <c r="G52">
        <v>2</v>
      </c>
    </row>
    <row r="53" spans="1:7" x14ac:dyDescent="0.4">
      <c r="A53">
        <v>52</v>
      </c>
      <c r="B53" t="s">
        <v>115</v>
      </c>
      <c r="C53" t="s">
        <v>116</v>
      </c>
      <c r="D53" t="s">
        <v>117</v>
      </c>
      <c r="E53">
        <v>2.7269999999999999</v>
      </c>
      <c r="F53" t="s">
        <v>88</v>
      </c>
      <c r="G53">
        <v>2</v>
      </c>
    </row>
    <row r="54" spans="1:7" x14ac:dyDescent="0.4">
      <c r="A54">
        <v>53</v>
      </c>
      <c r="B54" t="s">
        <v>119</v>
      </c>
      <c r="C54" t="s">
        <v>97</v>
      </c>
      <c r="D54" t="s">
        <v>118</v>
      </c>
      <c r="E54">
        <v>1.7729999999999999</v>
      </c>
      <c r="F54" t="s">
        <v>88</v>
      </c>
      <c r="G54">
        <v>2</v>
      </c>
    </row>
    <row r="55" spans="1:7" x14ac:dyDescent="0.4">
      <c r="A55">
        <v>54</v>
      </c>
      <c r="B55" t="s">
        <v>120</v>
      </c>
      <c r="C55" t="s">
        <v>112</v>
      </c>
      <c r="D55" t="s">
        <v>121</v>
      </c>
      <c r="E55">
        <v>0.14299999999999999</v>
      </c>
      <c r="F55" t="s">
        <v>88</v>
      </c>
      <c r="G55">
        <v>2</v>
      </c>
    </row>
    <row r="56" spans="1:7" ht="13.75" customHeight="1" x14ac:dyDescent="0.4">
      <c r="A56">
        <v>55</v>
      </c>
      <c r="B56" t="s">
        <v>125</v>
      </c>
      <c r="C56" t="s">
        <v>123</v>
      </c>
      <c r="D56" t="s">
        <v>171</v>
      </c>
      <c r="E56">
        <v>30.41</v>
      </c>
      <c r="F56" t="s">
        <v>124</v>
      </c>
      <c r="G56">
        <v>3</v>
      </c>
    </row>
    <row r="57" spans="1:7" ht="13.75" customHeight="1" x14ac:dyDescent="0.4">
      <c r="A57">
        <v>56</v>
      </c>
      <c r="B57" t="s">
        <v>128</v>
      </c>
      <c r="C57" t="s">
        <v>123</v>
      </c>
      <c r="D57" t="s">
        <v>129</v>
      </c>
      <c r="E57">
        <v>209.25</v>
      </c>
      <c r="F57" t="s">
        <v>124</v>
      </c>
      <c r="G57">
        <v>4</v>
      </c>
    </row>
    <row r="58" spans="1:7" ht="14.15" customHeight="1" x14ac:dyDescent="0.4">
      <c r="A58">
        <v>57</v>
      </c>
      <c r="B58" t="s">
        <v>132</v>
      </c>
      <c r="C58" t="s">
        <v>123</v>
      </c>
      <c r="D58" t="s">
        <v>134</v>
      </c>
      <c r="E58">
        <v>69.42</v>
      </c>
      <c r="F58" t="s">
        <v>124</v>
      </c>
      <c r="G58">
        <v>5</v>
      </c>
    </row>
    <row r="59" spans="1:7" ht="14.6" customHeight="1" x14ac:dyDescent="0.4">
      <c r="A59">
        <v>58</v>
      </c>
      <c r="B59" t="s">
        <v>135</v>
      </c>
      <c r="C59" t="s">
        <v>123</v>
      </c>
      <c r="D59" t="s">
        <v>136</v>
      </c>
      <c r="E59">
        <v>710.97</v>
      </c>
      <c r="F59" t="s">
        <v>124</v>
      </c>
      <c r="G59">
        <v>6</v>
      </c>
    </row>
    <row r="60" spans="1:7" ht="14.15" customHeight="1" x14ac:dyDescent="0.4">
      <c r="A60">
        <v>59</v>
      </c>
      <c r="B60" t="s">
        <v>143</v>
      </c>
      <c r="C60" t="s">
        <v>123</v>
      </c>
      <c r="D60" t="s">
        <v>172</v>
      </c>
      <c r="E60">
        <v>62.42</v>
      </c>
      <c r="F60" t="s">
        <v>124</v>
      </c>
      <c r="G60">
        <v>7</v>
      </c>
    </row>
    <row r="61" spans="1:7" x14ac:dyDescent="0.4">
      <c r="A61">
        <v>60</v>
      </c>
      <c r="B61" t="s">
        <v>149</v>
      </c>
      <c r="C61" t="s">
        <v>123</v>
      </c>
      <c r="D61" t="s">
        <v>150</v>
      </c>
      <c r="E61">
        <v>1.85</v>
      </c>
      <c r="F61" t="s">
        <v>124</v>
      </c>
      <c r="G61">
        <v>8</v>
      </c>
    </row>
    <row r="62" spans="1:7" x14ac:dyDescent="0.4">
      <c r="A62">
        <v>61</v>
      </c>
      <c r="B62" t="s">
        <v>151</v>
      </c>
      <c r="C62" t="s">
        <v>123</v>
      </c>
      <c r="D62" t="s">
        <v>152</v>
      </c>
      <c r="E62">
        <v>3.6</v>
      </c>
      <c r="F62" t="s">
        <v>124</v>
      </c>
      <c r="G62">
        <v>8</v>
      </c>
    </row>
    <row r="63" spans="1:7" ht="15" customHeight="1" x14ac:dyDescent="0.4">
      <c r="A63">
        <v>62</v>
      </c>
      <c r="B63" t="s">
        <v>156</v>
      </c>
      <c r="C63" t="s">
        <v>39</v>
      </c>
      <c r="D63" s="3" t="s">
        <v>162</v>
      </c>
      <c r="E63">
        <v>28.1</v>
      </c>
      <c r="F63" t="s">
        <v>124</v>
      </c>
      <c r="G63">
        <v>9</v>
      </c>
    </row>
    <row r="64" spans="1:7" ht="13.75" customHeight="1" x14ac:dyDescent="0.4">
      <c r="A64">
        <v>63</v>
      </c>
      <c r="B64" t="s">
        <v>157</v>
      </c>
      <c r="C64" t="s">
        <v>158</v>
      </c>
      <c r="D64" t="s">
        <v>163</v>
      </c>
      <c r="E64">
        <v>5.6</v>
      </c>
      <c r="F64" t="s">
        <v>124</v>
      </c>
      <c r="G64">
        <v>9</v>
      </c>
    </row>
    <row r="65" spans="1:7" x14ac:dyDescent="0.4">
      <c r="A65">
        <v>64</v>
      </c>
      <c r="B65" t="s">
        <v>164</v>
      </c>
      <c r="C65" t="s">
        <v>165</v>
      </c>
      <c r="D65" t="s">
        <v>166</v>
      </c>
      <c r="E65">
        <v>0.98</v>
      </c>
      <c r="F65" t="s">
        <v>167</v>
      </c>
      <c r="G65">
        <v>10</v>
      </c>
    </row>
    <row r="66" spans="1:7" ht="14.6" customHeight="1" x14ac:dyDescent="0.4">
      <c r="A66">
        <v>65</v>
      </c>
      <c r="B66" t="s">
        <v>193</v>
      </c>
      <c r="C66" t="s">
        <v>174</v>
      </c>
      <c r="D66" t="s">
        <v>209</v>
      </c>
      <c r="E66">
        <f>(580.5/365.25)*0.4016</f>
        <v>0.63827186858316221</v>
      </c>
      <c r="F66" t="s">
        <v>175</v>
      </c>
      <c r="G66" t="s">
        <v>184</v>
      </c>
    </row>
    <row r="67" spans="1:7" ht="18" customHeight="1" x14ac:dyDescent="0.4">
      <c r="A67">
        <v>66</v>
      </c>
      <c r="B67" t="s">
        <v>192</v>
      </c>
      <c r="C67" t="s">
        <v>174</v>
      </c>
      <c r="D67" s="3" t="s">
        <v>185</v>
      </c>
      <c r="E67">
        <f>(181/365.25)*0.253077</f>
        <v>0.12541255852156058</v>
      </c>
      <c r="F67" t="s">
        <v>175</v>
      </c>
      <c r="G67" t="s">
        <v>190</v>
      </c>
    </row>
    <row r="68" spans="1:7" ht="15" customHeight="1" x14ac:dyDescent="0.4">
      <c r="A68">
        <v>67</v>
      </c>
      <c r="B68" t="s">
        <v>203</v>
      </c>
      <c r="C68" t="s">
        <v>204</v>
      </c>
      <c r="D68" s="3" t="s">
        <v>208</v>
      </c>
      <c r="E68">
        <f>(263.8/215)*0.4016</f>
        <v>0.49275386046511632</v>
      </c>
      <c r="F68" t="s">
        <v>175</v>
      </c>
      <c r="G68" t="s">
        <v>184</v>
      </c>
    </row>
    <row r="69" spans="1:7" ht="15" customHeight="1" x14ac:dyDescent="0.4">
      <c r="A69">
        <v>68</v>
      </c>
      <c r="B69" t="s">
        <v>202</v>
      </c>
      <c r="C69" t="s">
        <v>204</v>
      </c>
      <c r="D69" s="3" t="s">
        <v>205</v>
      </c>
      <c r="E69">
        <f>(0.79)*0.253077</f>
        <v>0.19993083</v>
      </c>
      <c r="F69" t="s">
        <v>175</v>
      </c>
      <c r="G69" t="s">
        <v>190</v>
      </c>
    </row>
    <row r="70" spans="1:7" ht="16.3" customHeight="1" x14ac:dyDescent="0.4">
      <c r="A70">
        <v>69</v>
      </c>
      <c r="B70" t="s">
        <v>206</v>
      </c>
      <c r="C70" t="s">
        <v>204</v>
      </c>
      <c r="D70" s="3" t="s">
        <v>210</v>
      </c>
      <c r="E70">
        <f>(136.5/295)*0.4016</f>
        <v>0.1858250847457627</v>
      </c>
      <c r="F70" t="s">
        <v>175</v>
      </c>
      <c r="G70" t="s">
        <v>184</v>
      </c>
    </row>
    <row r="71" spans="1:7" ht="16.3" customHeight="1" x14ac:dyDescent="0.4">
      <c r="A71">
        <v>70</v>
      </c>
      <c r="B71" t="s">
        <v>207</v>
      </c>
      <c r="C71" t="s">
        <v>204</v>
      </c>
      <c r="D71" s="3" t="s">
        <v>215</v>
      </c>
      <c r="E71">
        <f>(99/174)*0.253077</f>
        <v>0.14399208620689655</v>
      </c>
      <c r="F71" t="s">
        <v>175</v>
      </c>
      <c r="G71" t="s">
        <v>190</v>
      </c>
    </row>
    <row r="72" spans="1:7" x14ac:dyDescent="0.4">
      <c r="A72">
        <v>71</v>
      </c>
      <c r="B72" t="s">
        <v>211</v>
      </c>
      <c r="C72" t="s">
        <v>204</v>
      </c>
      <c r="D72" s="3" t="s">
        <v>213</v>
      </c>
      <c r="E72">
        <f>(584.5/283)*0.4016</f>
        <v>0.82945300353356899</v>
      </c>
      <c r="F72" t="s">
        <v>175</v>
      </c>
      <c r="G72" t="s">
        <v>184</v>
      </c>
    </row>
    <row r="73" spans="1:7" x14ac:dyDescent="0.4">
      <c r="A73">
        <v>72</v>
      </c>
      <c r="B73" t="s">
        <v>212</v>
      </c>
      <c r="C73" t="s">
        <v>204</v>
      </c>
      <c r="D73" s="3" t="s">
        <v>214</v>
      </c>
      <c r="E73">
        <f>(150/107)*0.253077</f>
        <v>0.35478084112149533</v>
      </c>
      <c r="F73" t="s">
        <v>175</v>
      </c>
      <c r="G73" t="s">
        <v>190</v>
      </c>
    </row>
    <row r="74" spans="1:7" ht="16.3" customHeight="1" x14ac:dyDescent="0.4">
      <c r="A74">
        <v>73</v>
      </c>
      <c r="B74" t="s">
        <v>235</v>
      </c>
      <c r="C74" t="s">
        <v>236</v>
      </c>
      <c r="D74" s="4" t="s">
        <v>237</v>
      </c>
      <c r="E74">
        <f>(26/38)*0.253077</f>
        <v>0.17315794736842105</v>
      </c>
      <c r="F74" t="s">
        <v>175</v>
      </c>
      <c r="G74" t="s">
        <v>190</v>
      </c>
    </row>
    <row r="75" spans="1:7" ht="15.9" customHeight="1" x14ac:dyDescent="0.4">
      <c r="A75">
        <v>74</v>
      </c>
      <c r="B75" t="s">
        <v>191</v>
      </c>
      <c r="C75" t="s">
        <v>194</v>
      </c>
      <c r="D75" s="4" t="s">
        <v>195</v>
      </c>
      <c r="E75">
        <f>9.6*0.253077</f>
        <v>2.4295391999999998</v>
      </c>
      <c r="F75" t="s">
        <v>175</v>
      </c>
      <c r="G75" t="s">
        <v>190</v>
      </c>
    </row>
    <row r="76" spans="1:7" x14ac:dyDescent="0.4">
      <c r="A76">
        <v>75</v>
      </c>
      <c r="B76" t="s">
        <v>196</v>
      </c>
      <c r="C76" t="s">
        <v>194</v>
      </c>
      <c r="D76" s="3" t="s">
        <v>197</v>
      </c>
      <c r="E76">
        <f>9.6*0.4016</f>
        <v>3.8553600000000001</v>
      </c>
      <c r="F76" t="s">
        <v>175</v>
      </c>
      <c r="G76" t="s">
        <v>190</v>
      </c>
    </row>
    <row r="77" spans="1:7" x14ac:dyDescent="0.4">
      <c r="A77">
        <v>76</v>
      </c>
      <c r="B77" t="s">
        <v>199</v>
      </c>
      <c r="C77" t="s">
        <v>194</v>
      </c>
      <c r="D77" s="3" t="s">
        <v>200</v>
      </c>
      <c r="E77">
        <f>12.2*0.253077</f>
        <v>3.0875393999999998</v>
      </c>
      <c r="F77" t="s">
        <v>175</v>
      </c>
      <c r="G77" t="s">
        <v>190</v>
      </c>
    </row>
    <row r="78" spans="1:7" x14ac:dyDescent="0.4">
      <c r="A78">
        <v>77</v>
      </c>
      <c r="B78" t="s">
        <v>198</v>
      </c>
      <c r="C78" t="s">
        <v>194</v>
      </c>
      <c r="D78" s="3" t="s">
        <v>201</v>
      </c>
      <c r="E78">
        <f>12.2*0.4016</f>
        <v>4.8995199999999999</v>
      </c>
      <c r="F78" t="s">
        <v>175</v>
      </c>
      <c r="G78" t="s">
        <v>190</v>
      </c>
    </row>
    <row r="79" spans="1:7" x14ac:dyDescent="0.4">
      <c r="A79">
        <v>78</v>
      </c>
      <c r="B79" t="s">
        <v>216</v>
      </c>
      <c r="C79" t="s">
        <v>123</v>
      </c>
      <c r="D79" t="s">
        <v>227</v>
      </c>
      <c r="E79">
        <f>0.089/1000*240</f>
        <v>2.1359999999999997E-2</v>
      </c>
      <c r="F79" t="s">
        <v>124</v>
      </c>
      <c r="G79">
        <v>15</v>
      </c>
    </row>
    <row r="80" spans="1:7" x14ac:dyDescent="0.4">
      <c r="A80">
        <v>79</v>
      </c>
      <c r="B80" t="s">
        <v>217</v>
      </c>
      <c r="C80" t="s">
        <v>123</v>
      </c>
      <c r="D80" t="s">
        <v>228</v>
      </c>
      <c r="E80">
        <f>0.138/1000*240</f>
        <v>3.3120000000000004E-2</v>
      </c>
      <c r="F80" t="s">
        <v>124</v>
      </c>
      <c r="G80">
        <v>15</v>
      </c>
    </row>
    <row r="81" spans="1:7" x14ac:dyDescent="0.4">
      <c r="A81">
        <v>80</v>
      </c>
      <c r="B81" t="s">
        <v>219</v>
      </c>
      <c r="C81" t="s">
        <v>123</v>
      </c>
      <c r="D81" t="s">
        <v>229</v>
      </c>
      <c r="E81">
        <v>0.161</v>
      </c>
      <c r="F81" t="s">
        <v>124</v>
      </c>
      <c r="G81">
        <v>15</v>
      </c>
    </row>
    <row r="82" spans="1:7" x14ac:dyDescent="0.4">
      <c r="A82">
        <v>81</v>
      </c>
      <c r="B82" t="s">
        <v>218</v>
      </c>
      <c r="C82" t="s">
        <v>123</v>
      </c>
      <c r="D82" t="s">
        <v>230</v>
      </c>
      <c r="E82">
        <v>0.27500000000000002</v>
      </c>
      <c r="F82" t="s">
        <v>124</v>
      </c>
      <c r="G82">
        <v>15</v>
      </c>
    </row>
    <row r="83" spans="1:7" x14ac:dyDescent="0.4">
      <c r="A83">
        <v>82</v>
      </c>
      <c r="B83" t="s">
        <v>220</v>
      </c>
      <c r="C83" t="s">
        <v>123</v>
      </c>
      <c r="D83" t="s">
        <v>231</v>
      </c>
      <c r="E83">
        <v>0.45500000000000002</v>
      </c>
      <c r="F83" t="s">
        <v>124</v>
      </c>
      <c r="G83">
        <v>15</v>
      </c>
    </row>
    <row r="84" spans="1:7" x14ac:dyDescent="0.4">
      <c r="A84">
        <v>83</v>
      </c>
      <c r="B84" t="s">
        <v>221</v>
      </c>
      <c r="C84" t="s">
        <v>123</v>
      </c>
      <c r="D84" t="s">
        <v>232</v>
      </c>
      <c r="E84">
        <v>0.96599999999999997</v>
      </c>
      <c r="F84" t="s">
        <v>124</v>
      </c>
      <c r="G84">
        <v>15</v>
      </c>
    </row>
    <row r="85" spans="1:7" x14ac:dyDescent="0.4">
      <c r="A85">
        <v>84</v>
      </c>
      <c r="B85" t="s">
        <v>222</v>
      </c>
      <c r="C85" t="s">
        <v>123</v>
      </c>
      <c r="D85" t="s">
        <v>233</v>
      </c>
      <c r="E85">
        <v>6.7000000000000004E-2</v>
      </c>
      <c r="F85" t="s">
        <v>124</v>
      </c>
      <c r="G85">
        <v>15</v>
      </c>
    </row>
    <row r="86" spans="1:7" x14ac:dyDescent="0.4">
      <c r="A86">
        <v>85</v>
      </c>
      <c r="B86" t="s">
        <v>223</v>
      </c>
      <c r="C86" t="s">
        <v>123</v>
      </c>
      <c r="D86" t="s">
        <v>234</v>
      </c>
      <c r="E86">
        <v>0.15</v>
      </c>
      <c r="F86" t="s">
        <v>124</v>
      </c>
      <c r="G86">
        <v>15</v>
      </c>
    </row>
    <row r="87" spans="1:7" ht="16.3" customHeight="1" x14ac:dyDescent="0.4">
      <c r="A87">
        <v>86</v>
      </c>
      <c r="B87" t="s">
        <v>240</v>
      </c>
      <c r="C87" t="s">
        <v>123</v>
      </c>
      <c r="D87" s="4" t="s">
        <v>241</v>
      </c>
      <c r="E87">
        <v>0.09</v>
      </c>
      <c r="F87" t="s">
        <v>124</v>
      </c>
      <c r="G87">
        <v>16</v>
      </c>
    </row>
    <row r="88" spans="1:7" ht="16.3" customHeight="1" x14ac:dyDescent="0.4">
      <c r="A88">
        <v>87</v>
      </c>
      <c r="B88" t="s">
        <v>238</v>
      </c>
      <c r="C88" t="s">
        <v>123</v>
      </c>
      <c r="D88" s="4" t="s">
        <v>246</v>
      </c>
      <c r="E88">
        <v>0.05</v>
      </c>
      <c r="F88" t="s">
        <v>124</v>
      </c>
      <c r="G88">
        <v>16</v>
      </c>
    </row>
    <row r="89" spans="1:7" ht="16.75" customHeight="1" x14ac:dyDescent="0.4">
      <c r="A89">
        <v>88</v>
      </c>
      <c r="B89" t="s">
        <v>239</v>
      </c>
      <c r="C89" t="s">
        <v>123</v>
      </c>
      <c r="D89" s="4" t="s">
        <v>242</v>
      </c>
      <c r="E89">
        <v>5.55</v>
      </c>
      <c r="F89" t="s">
        <v>124</v>
      </c>
      <c r="G89">
        <v>16</v>
      </c>
    </row>
    <row r="90" spans="1:7" ht="17.600000000000001" customHeight="1" x14ac:dyDescent="0.4">
      <c r="A90">
        <v>89</v>
      </c>
      <c r="B90" t="s">
        <v>251</v>
      </c>
      <c r="C90" t="s">
        <v>194</v>
      </c>
      <c r="D90" s="4" t="s">
        <v>247</v>
      </c>
      <c r="E90">
        <f>(0.0004*(365.25*24))*0.253077</f>
        <v>0.88738919280000006</v>
      </c>
      <c r="F90" t="s">
        <v>175</v>
      </c>
      <c r="G90" t="s">
        <v>259</v>
      </c>
    </row>
    <row r="91" spans="1:7" ht="19.3" customHeight="1" x14ac:dyDescent="0.4">
      <c r="A91">
        <v>90</v>
      </c>
      <c r="B91" t="s">
        <v>252</v>
      </c>
      <c r="C91" t="s">
        <v>253</v>
      </c>
      <c r="D91" s="4" t="s">
        <v>254</v>
      </c>
      <c r="E91">
        <f>(0.007*500)*0.253077</f>
        <v>0.88576949999999999</v>
      </c>
      <c r="F91" t="s">
        <v>175</v>
      </c>
      <c r="G91" t="s">
        <v>255</v>
      </c>
    </row>
  </sheetData>
  <phoneticPr fontId="2" type="noConversion"/>
  <pageMargins left="0.7" right="0.7" top="0.75" bottom="0.75" header="0.3" footer="0.3"/>
  <pageSetup paperSize="9" orientation="portrait" horizontalDpi="300" verticalDpi="300" r:id="rId1"/>
  <ignoredErrors>
    <ignoredError sqref="E67 E72" formula="1"/>
    <ignoredError sqref="G66:G78" twoDigitTextYear="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F59E3-B05F-4B09-86C9-16C3AA105F8A}">
  <dimension ref="A1:D19"/>
  <sheetViews>
    <sheetView workbookViewId="0">
      <selection activeCell="B20" sqref="B20"/>
    </sheetView>
  </sheetViews>
  <sheetFormatPr defaultRowHeight="14.6" x14ac:dyDescent="0.4"/>
  <sheetData>
    <row r="1" spans="1:4" x14ac:dyDescent="0.4">
      <c r="A1" t="s">
        <v>0</v>
      </c>
      <c r="B1" t="s">
        <v>5</v>
      </c>
      <c r="C1" t="s">
        <v>14</v>
      </c>
      <c r="D1" t="s">
        <v>15</v>
      </c>
    </row>
    <row r="2" spans="1:4" x14ac:dyDescent="0.4">
      <c r="A2">
        <v>1</v>
      </c>
      <c r="B2" t="s">
        <v>122</v>
      </c>
      <c r="C2" t="s">
        <v>36</v>
      </c>
      <c r="D2" s="1" t="s">
        <v>37</v>
      </c>
    </row>
    <row r="3" spans="1:4" x14ac:dyDescent="0.4">
      <c r="A3">
        <v>2</v>
      </c>
      <c r="B3" t="s">
        <v>86</v>
      </c>
      <c r="C3" t="s">
        <v>84</v>
      </c>
      <c r="D3" s="1" t="s">
        <v>85</v>
      </c>
    </row>
    <row r="4" spans="1:4" x14ac:dyDescent="0.4">
      <c r="A4">
        <v>3</v>
      </c>
      <c r="B4" t="s">
        <v>126</v>
      </c>
      <c r="C4" t="s">
        <v>147</v>
      </c>
      <c r="D4" s="1" t="s">
        <v>127</v>
      </c>
    </row>
    <row r="5" spans="1:4" x14ac:dyDescent="0.4">
      <c r="A5">
        <v>4</v>
      </c>
      <c r="B5" t="s">
        <v>130</v>
      </c>
      <c r="C5" t="s">
        <v>138</v>
      </c>
      <c r="D5" s="1" t="s">
        <v>131</v>
      </c>
    </row>
    <row r="6" spans="1:4" x14ac:dyDescent="0.4">
      <c r="A6">
        <v>5</v>
      </c>
      <c r="B6" t="s">
        <v>133</v>
      </c>
      <c r="C6" t="s">
        <v>139</v>
      </c>
      <c r="D6" t="s">
        <v>142</v>
      </c>
    </row>
    <row r="7" spans="1:4" x14ac:dyDescent="0.4">
      <c r="A7">
        <v>6</v>
      </c>
      <c r="B7" t="s">
        <v>137</v>
      </c>
      <c r="C7" t="s">
        <v>140</v>
      </c>
      <c r="D7" s="1" t="s">
        <v>141</v>
      </c>
    </row>
    <row r="8" spans="1:4" x14ac:dyDescent="0.4">
      <c r="A8">
        <v>7</v>
      </c>
      <c r="B8" t="s">
        <v>144</v>
      </c>
      <c r="C8" t="s">
        <v>145</v>
      </c>
      <c r="D8" s="1" t="s">
        <v>146</v>
      </c>
    </row>
    <row r="9" spans="1:4" x14ac:dyDescent="0.4">
      <c r="A9">
        <v>8</v>
      </c>
      <c r="B9" t="s">
        <v>154</v>
      </c>
      <c r="C9" t="s">
        <v>153</v>
      </c>
      <c r="D9" s="1" t="s">
        <v>155</v>
      </c>
    </row>
    <row r="10" spans="1:4" x14ac:dyDescent="0.4">
      <c r="A10">
        <v>9</v>
      </c>
      <c r="B10" t="s">
        <v>160</v>
      </c>
      <c r="C10" t="s">
        <v>159</v>
      </c>
      <c r="D10" s="1" t="s">
        <v>161</v>
      </c>
    </row>
    <row r="11" spans="1:4" x14ac:dyDescent="0.4">
      <c r="A11">
        <v>10</v>
      </c>
      <c r="B11" t="s">
        <v>168</v>
      </c>
      <c r="C11" t="s">
        <v>169</v>
      </c>
      <c r="D11" t="s">
        <v>170</v>
      </c>
    </row>
    <row r="12" spans="1:4" x14ac:dyDescent="0.4">
      <c r="A12">
        <v>11</v>
      </c>
      <c r="B12" t="s">
        <v>176</v>
      </c>
      <c r="C12" t="s">
        <v>177</v>
      </c>
      <c r="D12" s="1" t="s">
        <v>178</v>
      </c>
    </row>
    <row r="13" spans="1:4" x14ac:dyDescent="0.4">
      <c r="A13">
        <v>12</v>
      </c>
      <c r="B13" t="s">
        <v>179</v>
      </c>
      <c r="C13" t="s">
        <v>180</v>
      </c>
      <c r="D13" s="1" t="s">
        <v>181</v>
      </c>
    </row>
    <row r="14" spans="1:4" x14ac:dyDescent="0.4">
      <c r="A14">
        <v>13</v>
      </c>
      <c r="B14" t="s">
        <v>183</v>
      </c>
      <c r="C14" t="s">
        <v>187</v>
      </c>
      <c r="D14" s="1" t="s">
        <v>182</v>
      </c>
    </row>
    <row r="15" spans="1:4" x14ac:dyDescent="0.4">
      <c r="A15">
        <v>14</v>
      </c>
      <c r="B15" t="s">
        <v>186</v>
      </c>
      <c r="C15" t="s">
        <v>189</v>
      </c>
      <c r="D15" s="1" t="s">
        <v>188</v>
      </c>
    </row>
    <row r="16" spans="1:4" x14ac:dyDescent="0.4">
      <c r="A16">
        <v>15</v>
      </c>
      <c r="B16" t="s">
        <v>224</v>
      </c>
      <c r="C16" t="s">
        <v>225</v>
      </c>
      <c r="D16" t="s">
        <v>226</v>
      </c>
    </row>
    <row r="17" spans="1:4" x14ac:dyDescent="0.4">
      <c r="A17">
        <v>16</v>
      </c>
      <c r="B17" t="s">
        <v>243</v>
      </c>
      <c r="C17" t="s">
        <v>244</v>
      </c>
      <c r="D17" s="1" t="s">
        <v>245</v>
      </c>
    </row>
    <row r="18" spans="1:4" x14ac:dyDescent="0.4">
      <c r="A18">
        <v>17</v>
      </c>
      <c r="B18" t="s">
        <v>248</v>
      </c>
      <c r="C18" t="s">
        <v>250</v>
      </c>
      <c r="D18" s="1" t="s">
        <v>249</v>
      </c>
    </row>
    <row r="19" spans="1:4" x14ac:dyDescent="0.4">
      <c r="A19">
        <v>18</v>
      </c>
      <c r="B19" t="s">
        <v>257</v>
      </c>
      <c r="C19" t="s">
        <v>256</v>
      </c>
      <c r="D19" s="1" t="s">
        <v>258</v>
      </c>
    </row>
  </sheetData>
  <phoneticPr fontId="2" type="noConversion"/>
  <hyperlinks>
    <hyperlink ref="D2" r:id="rId1" xr:uid="{66808AD7-628F-40E7-8D20-27DE72DFD479}"/>
    <hyperlink ref="D3" r:id="rId2" xr:uid="{6C234ACA-9487-4DE9-96EE-A852189250A5}"/>
    <hyperlink ref="D4" r:id="rId3" xr:uid="{CFA5EA01-349D-4615-AB00-0355042E763E}"/>
    <hyperlink ref="D5" r:id="rId4" xr:uid="{B33A834C-F9A6-4602-80C4-BFADA02EE6E8}"/>
    <hyperlink ref="D7" r:id="rId5" xr:uid="{92EC28E4-C88F-4236-A627-4331EBD8887C}"/>
    <hyperlink ref="D8" r:id="rId6" xr:uid="{8CD2FB08-834D-45B4-854D-C59DCCB8F599}"/>
    <hyperlink ref="D9" r:id="rId7" xr:uid="{A155B1CF-6A82-4E96-82E2-1CC023370F79}"/>
    <hyperlink ref="D10" r:id="rId8" xr:uid="{83981149-6109-494F-A391-53F009C458CA}"/>
    <hyperlink ref="D12" r:id="rId9" location="carbon-intensity-of-electricity" xr:uid="{9E213D03-5A49-4E08-8C9A-78A76495F084}"/>
    <hyperlink ref="D14" r:id="rId10" xr:uid="{8AA94506-BCFF-4C7D-B006-BEC3F2664C0E}"/>
    <hyperlink ref="D15" r:id="rId11" xr:uid="{E3A4108A-3614-4467-B881-8FCB88B5CD0F}"/>
    <hyperlink ref="D17" r:id="rId12" xr:uid="{5CE54188-A3A7-4ED8-9497-75077E5DC210}"/>
    <hyperlink ref="D18" r:id="rId13" location="consumers" xr:uid="{B978059C-8965-4D2F-A297-4E5C5E9F15C5}"/>
    <hyperlink ref="D19" r:id="rId14" xr:uid="{343E80EB-5367-4042-AB04-00CADE0DCF6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D2608-7DB9-455F-8868-374EE20FD3F0}">
  <dimension ref="A1:E21"/>
  <sheetViews>
    <sheetView workbookViewId="0">
      <selection activeCell="B20" sqref="B20"/>
    </sheetView>
  </sheetViews>
  <sheetFormatPr defaultRowHeight="14.6" x14ac:dyDescent="0.4"/>
  <cols>
    <col min="3" max="3" width="24.15234375" bestFit="1" customWidth="1"/>
    <col min="4" max="4" width="27" bestFit="1" customWidth="1"/>
    <col min="5" max="5" width="24.15234375" bestFit="1" customWidth="1"/>
  </cols>
  <sheetData>
    <row r="1" spans="1:5" x14ac:dyDescent="0.4">
      <c r="A1" t="s">
        <v>0</v>
      </c>
      <c r="B1" t="s">
        <v>5</v>
      </c>
      <c r="C1" t="s">
        <v>9</v>
      </c>
      <c r="D1" t="s">
        <v>16</v>
      </c>
      <c r="E1" t="s">
        <v>17</v>
      </c>
    </row>
    <row r="2" spans="1:5" x14ac:dyDescent="0.4">
      <c r="A2">
        <f>data!A2</f>
        <v>1</v>
      </c>
      <c r="B2" t="str">
        <f>data!B2</f>
        <v>Apples</v>
      </c>
      <c r="C2" t="str">
        <f>data!D2</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2" t="s">
        <v>18</v>
      </c>
      <c r="E2" t="s">
        <v>12</v>
      </c>
    </row>
    <row r="3" spans="1:5" x14ac:dyDescent="0.4">
      <c r="A3">
        <f>data!A3</f>
        <v>2</v>
      </c>
      <c r="B3" t="str">
        <f>data!B3</f>
        <v>Bananas</v>
      </c>
      <c r="C3" t="str">
        <f>data!D3</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3" t="s">
        <v>10</v>
      </c>
      <c r="E3" t="s">
        <v>12</v>
      </c>
    </row>
    <row r="4" spans="1:5" x14ac:dyDescent="0.4">
      <c r="A4">
        <f>data!A4</f>
        <v>3</v>
      </c>
      <c r="B4" t="str">
        <f>data!B4</f>
        <v>Beer</v>
      </c>
      <c r="C4" t="str">
        <f>data!D4</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4" t="s">
        <v>19</v>
      </c>
      <c r="E4" t="s">
        <v>12</v>
      </c>
    </row>
    <row r="5" spans="1:5" x14ac:dyDescent="0.4">
      <c r="A5">
        <f>data!A5</f>
        <v>4</v>
      </c>
      <c r="B5" t="str">
        <f>data!B5</f>
        <v>Beef (beef herd)</v>
      </c>
      <c r="C5" t="str">
        <f>data!D5</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5" t="s">
        <v>20</v>
      </c>
      <c r="E5" t="s">
        <v>12</v>
      </c>
    </row>
    <row r="6" spans="1:5" x14ac:dyDescent="0.4">
      <c r="A6">
        <f>data!A6</f>
        <v>5</v>
      </c>
      <c r="B6" t="str">
        <f>data!B6</f>
        <v>Beef (dairy herd)</v>
      </c>
      <c r="C6" t="str">
        <f>data!D6</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6" t="s">
        <v>21</v>
      </c>
      <c r="E6" t="s">
        <v>12</v>
      </c>
    </row>
    <row r="7" spans="1:5" x14ac:dyDescent="0.4">
      <c r="A7">
        <f>data!A7</f>
        <v>6</v>
      </c>
      <c r="B7" t="str">
        <f>data!B7</f>
        <v>Beet sugar</v>
      </c>
      <c r="C7" t="str">
        <f>data!D7</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7" t="s">
        <v>22</v>
      </c>
      <c r="E7" t="s">
        <v>12</v>
      </c>
    </row>
    <row r="8" spans="1:5" x14ac:dyDescent="0.4">
      <c r="A8">
        <f>data!A8</f>
        <v>7</v>
      </c>
      <c r="B8" t="str">
        <f>data!B8</f>
        <v>Berries or grapes</v>
      </c>
      <c r="C8" t="str">
        <f>data!D8</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8" t="s">
        <v>23</v>
      </c>
      <c r="E8" t="s">
        <v>12</v>
      </c>
    </row>
    <row r="9" spans="1:5" x14ac:dyDescent="0.4">
      <c r="A9">
        <f>data!A9</f>
        <v>8</v>
      </c>
      <c r="B9" t="str">
        <f>data!B9</f>
        <v>Brassicas (cole crops)</v>
      </c>
      <c r="C9" t="str">
        <f>data!D9</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9" t="s">
        <v>24</v>
      </c>
      <c r="E9" t="s">
        <v>12</v>
      </c>
    </row>
    <row r="10" spans="1:5" x14ac:dyDescent="0.4">
      <c r="A10">
        <f>data!A10</f>
        <v>9</v>
      </c>
      <c r="B10" t="str">
        <f>data!B10</f>
        <v>Cane sugar</v>
      </c>
      <c r="C10" t="str">
        <f>data!D10</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0" t="s">
        <v>11</v>
      </c>
      <c r="E10" t="s">
        <v>12</v>
      </c>
    </row>
    <row r="11" spans="1:5" x14ac:dyDescent="0.4">
      <c r="A11">
        <f>data!A11</f>
        <v>10</v>
      </c>
      <c r="B11" t="str">
        <f>data!B11</f>
        <v>Cassava</v>
      </c>
      <c r="C11" t="str">
        <f>data!D11</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1" t="s">
        <v>25</v>
      </c>
      <c r="E11" t="s">
        <v>12</v>
      </c>
    </row>
    <row r="12" spans="1:5" x14ac:dyDescent="0.4">
      <c r="A12">
        <f>data!A12</f>
        <v>11</v>
      </c>
      <c r="B12" t="str">
        <f>data!B12</f>
        <v>Cheese</v>
      </c>
      <c r="C12" t="str">
        <f>data!D12</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2" t="s">
        <v>26</v>
      </c>
      <c r="E12" t="s">
        <v>12</v>
      </c>
    </row>
    <row r="13" spans="1:5" x14ac:dyDescent="0.4">
      <c r="A13">
        <f>data!A13</f>
        <v>12</v>
      </c>
      <c r="B13" t="str">
        <f>data!B13</f>
        <v>Citrus fruit</v>
      </c>
      <c r="C13" t="str">
        <f>data!D13</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3" t="s">
        <v>27</v>
      </c>
      <c r="E13" t="s">
        <v>12</v>
      </c>
    </row>
    <row r="14" spans="1:5" x14ac:dyDescent="0.4">
      <c r="A14">
        <f>data!A14</f>
        <v>13</v>
      </c>
      <c r="B14" t="str">
        <f>data!B14</f>
        <v>Ground coffee beans</v>
      </c>
      <c r="C14" t="str">
        <f>data!D14</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4" t="s">
        <v>28</v>
      </c>
      <c r="E14" t="s">
        <v>12</v>
      </c>
    </row>
    <row r="15" spans="1:5" x14ac:dyDescent="0.4">
      <c r="A15">
        <f>data!A15</f>
        <v>14</v>
      </c>
      <c r="B15" t="str">
        <f>data!B15</f>
        <v>Dark chocolate</v>
      </c>
      <c r="C15" t="str">
        <f>data!D15</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5" t="s">
        <v>13</v>
      </c>
      <c r="E15" t="s">
        <v>12</v>
      </c>
    </row>
    <row r="16" spans="1:5" x14ac:dyDescent="0.4">
      <c r="A16">
        <f>data!A16</f>
        <v>15</v>
      </c>
      <c r="B16" t="str">
        <f>data!B16</f>
        <v>Eggs</v>
      </c>
      <c r="C16" t="str">
        <f>data!D16</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6" t="s">
        <v>29</v>
      </c>
      <c r="E16" t="s">
        <v>12</v>
      </c>
    </row>
    <row r="17" spans="1:5" x14ac:dyDescent="0.4">
      <c r="A17">
        <f>data!A17</f>
        <v>16</v>
      </c>
      <c r="B17" t="str">
        <f>data!B17</f>
        <v>Fish (farmed)</v>
      </c>
      <c r="C17" t="str">
        <f>data!D17</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7" t="s">
        <v>30</v>
      </c>
      <c r="E17" t="s">
        <v>12</v>
      </c>
    </row>
    <row r="18" spans="1:5" x14ac:dyDescent="0.4">
      <c r="A18">
        <f>data!A18</f>
        <v>17</v>
      </c>
      <c r="B18" t="str">
        <f>data!B18</f>
        <v>Roasted peanuts</v>
      </c>
      <c r="C18" t="str">
        <f>data!D18</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8" t="s">
        <v>31</v>
      </c>
      <c r="E18" t="s">
        <v>12</v>
      </c>
    </row>
    <row r="19" spans="1:5" x14ac:dyDescent="0.4">
      <c r="A19">
        <f>data!A19</f>
        <v>18</v>
      </c>
      <c r="B19" t="str">
        <f>data!B19</f>
        <v>Lamb meat</v>
      </c>
      <c r="C19" t="str">
        <f>data!D19</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19" t="s">
        <v>32</v>
      </c>
      <c r="E19" t="s">
        <v>12</v>
      </c>
    </row>
    <row r="20" spans="1:5" x14ac:dyDescent="0.4">
      <c r="A20">
        <f>data!A20</f>
        <v>19</v>
      </c>
      <c r="B20" t="str">
        <f>data!B20</f>
        <v>Maize meal</v>
      </c>
      <c r="C20" t="str">
        <f>data!D20</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20" t="s">
        <v>33</v>
      </c>
      <c r="E20" t="s">
        <v>12</v>
      </c>
    </row>
    <row r="21" spans="1:5" x14ac:dyDescent="0.4">
      <c r="A21">
        <f>data!A21</f>
        <v>20</v>
      </c>
      <c r="B21" t="str">
        <f>data!B21</f>
        <v>Pasteurized milk</v>
      </c>
      <c r="C21" t="str">
        <f>data!D21</f>
        <v>Average emissions across the supply chain (land use change, transport, processing, packaging, retail, and losses). Note that the value is a global average, and therefore the food available at your location may have a significantly different footprint, although the transport, retail and packaging phases typically make up but a small fraction of the emissions.</v>
      </c>
      <c r="D21" t="s">
        <v>34</v>
      </c>
      <c r="E21" t="s">
        <v>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BD25A-F001-4C3D-AC8C-222B65F56BEC}">
  <dimension ref="A1"/>
  <sheetViews>
    <sheetView workbookViewId="0">
      <selection activeCell="E8" sqref="E8"/>
    </sheetView>
  </sheetViews>
  <sheetFormatPr defaultRowHeight="14.6" x14ac:dyDescent="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info</vt:lpstr>
      <vt:lpstr>data</vt:lpstr>
      <vt:lpstr>sources</vt:lpstr>
      <vt:lpstr>l10n</vt:lpstr>
      <vt:lpstr>did-you-know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Wessel van Dam</dc:creator>
  <cp:lastModifiedBy>Wessel van Dam</cp:lastModifiedBy>
  <dcterms:created xsi:type="dcterms:W3CDTF">2015-06-05T18:17:20Z</dcterms:created>
  <dcterms:modified xsi:type="dcterms:W3CDTF">2025-10-01T21:15:51Z</dcterms:modified>
</cp:coreProperties>
</file>